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59f18057bb5bbc9/Desktop/CHATGPT DATASET/COMPLETED PROJECT/"/>
    </mc:Choice>
  </mc:AlternateContent>
  <xr:revisionPtr revIDLastSave="1176" documentId="8_{8049D867-5BC0-4CDB-8604-E4293A493CD2}" xr6:coauthVersionLast="47" xr6:coauthVersionMax="47" xr10:uidLastSave="{EF6EDE73-7E7C-4F73-9C9D-C97C8DADCF05}"/>
  <bookViews>
    <workbookView xWindow="-110" yWindow="-110" windowWidth="19420" windowHeight="10300" activeTab="2" xr2:uid="{5B2887FA-483B-47D1-B554-23B86C2E200E}"/>
  </bookViews>
  <sheets>
    <sheet name="blinkit_delivery_case_study" sheetId="1" r:id="rId1"/>
    <sheet name="blinkit_stores" sheetId="8" r:id="rId2"/>
    <sheet name="Delivered_data" sheetId="2" r:id="rId3"/>
    <sheet name="PIVOT" sheetId="6" r:id="rId4"/>
    <sheet name="DASHBOARD" sheetId="10" r:id="rId5"/>
  </sheets>
  <definedNames>
    <definedName name="Slicer_city">#N/A</definedName>
    <definedName name="Slicer_peakhour">#N/A</definedName>
    <definedName name="Slicer_store_i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9" i="6" l="1"/>
  <c r="B229" i="6"/>
  <c r="A229" i="6"/>
  <c r="D221" i="6"/>
  <c r="C210" i="6"/>
  <c r="C211" i="6"/>
  <c r="C212" i="6"/>
  <c r="C213" i="6"/>
  <c r="C214" i="6"/>
  <c r="C215" i="6"/>
  <c r="C216" i="6"/>
  <c r="C209" i="6"/>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 i="8"/>
  <c r="F3" i="8"/>
  <c r="F4" i="8"/>
  <c r="F5" i="8"/>
  <c r="F6" i="8"/>
  <c r="F7" i="8"/>
  <c r="F8" i="8"/>
  <c r="F9" i="8"/>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29" i="6"/>
  <c r="D219" i="6" l="1"/>
</calcChain>
</file>

<file path=xl/sharedStrings.xml><?xml version="1.0" encoding="utf-8"?>
<sst xmlns="http://schemas.openxmlformats.org/spreadsheetml/2006/main" count="2592" uniqueCount="396">
  <si>
    <t>order_id</t>
  </si>
  <si>
    <t>order_date</t>
  </si>
  <si>
    <t>city</t>
  </si>
  <si>
    <t>store_id</t>
  </si>
  <si>
    <t>order_time</t>
  </si>
  <si>
    <t>items_count</t>
  </si>
  <si>
    <t>order_value</t>
  </si>
  <si>
    <t>picking_time_min</t>
  </si>
  <si>
    <t>packing_time_min</t>
  </si>
  <si>
    <t>rider_assignment_time_min</t>
  </si>
  <si>
    <t>rider_waiting_time_min</t>
  </si>
  <si>
    <t>delivery_time_min</t>
  </si>
  <si>
    <t>total_delivery_time_min</t>
  </si>
  <si>
    <t>distance_km</t>
  </si>
  <si>
    <t>rider_id</t>
  </si>
  <si>
    <t>order_status</t>
  </si>
  <si>
    <t>customer_rating</t>
  </si>
  <si>
    <t>ORD100001</t>
  </si>
  <si>
    <t>Mumbai</t>
  </si>
  <si>
    <t>MUM03</t>
  </si>
  <si>
    <t>R016</t>
  </si>
  <si>
    <t>Delivered</t>
  </si>
  <si>
    <t>ORD100002</t>
  </si>
  <si>
    <t>Pune</t>
  </si>
  <si>
    <t>PUN02</t>
  </si>
  <si>
    <t>R019</t>
  </si>
  <si>
    <t>ORD100003</t>
  </si>
  <si>
    <t>R023</t>
  </si>
  <si>
    <t>ORD100004</t>
  </si>
  <si>
    <t>R025</t>
  </si>
  <si>
    <t>ORD100005</t>
  </si>
  <si>
    <t>MUM02</t>
  </si>
  <si>
    <t>ORD100006</t>
  </si>
  <si>
    <t>R054</t>
  </si>
  <si>
    <t>ORD100007</t>
  </si>
  <si>
    <t>PUN03</t>
  </si>
  <si>
    <t>R073</t>
  </si>
  <si>
    <t>ORD100008</t>
  </si>
  <si>
    <t>R001</t>
  </si>
  <si>
    <t>ORD100009</t>
  </si>
  <si>
    <t>R042</t>
  </si>
  <si>
    <t>ORD100010</t>
  </si>
  <si>
    <t>MUM01</t>
  </si>
  <si>
    <t>ORD100011</t>
  </si>
  <si>
    <t>R034</t>
  </si>
  <si>
    <t>ORD100012</t>
  </si>
  <si>
    <t>Nagpur</t>
  </si>
  <si>
    <t>NAG02</t>
  </si>
  <si>
    <t>R080</t>
  </si>
  <si>
    <t>ORD100013</t>
  </si>
  <si>
    <t>PUN01</t>
  </si>
  <si>
    <t>R055</t>
  </si>
  <si>
    <t>ORD100014</t>
  </si>
  <si>
    <t>R018</t>
  </si>
  <si>
    <t>ORD100015</t>
  </si>
  <si>
    <t>ORD100016</t>
  </si>
  <si>
    <t>R045</t>
  </si>
  <si>
    <t>ORD100017</t>
  </si>
  <si>
    <t>NAG01</t>
  </si>
  <si>
    <t>R006</t>
  </si>
  <si>
    <t>ORD100018</t>
  </si>
  <si>
    <t>R021</t>
  </si>
  <si>
    <t>ORD100019</t>
  </si>
  <si>
    <t>R070</t>
  </si>
  <si>
    <t>ORD100020</t>
  </si>
  <si>
    <t>R048</t>
  </si>
  <si>
    <t>ORD100021</t>
  </si>
  <si>
    <t>R039</t>
  </si>
  <si>
    <t>ORD100022</t>
  </si>
  <si>
    <t>R031</t>
  </si>
  <si>
    <t>ORD100023</t>
  </si>
  <si>
    <t>R010</t>
  </si>
  <si>
    <t>ORD100024</t>
  </si>
  <si>
    <t>R030</t>
  </si>
  <si>
    <t>ORD100025</t>
  </si>
  <si>
    <t>ORD100026</t>
  </si>
  <si>
    <t>R060</t>
  </si>
  <si>
    <t>ORD100027</t>
  </si>
  <si>
    <t>ORD100028</t>
  </si>
  <si>
    <t>R015</t>
  </si>
  <si>
    <t>ORD100029</t>
  </si>
  <si>
    <t>R004</t>
  </si>
  <si>
    <t>ORD100030</t>
  </si>
  <si>
    <t>R063</t>
  </si>
  <si>
    <t>ORD100031</t>
  </si>
  <si>
    <t>R040</t>
  </si>
  <si>
    <t>ORD100032</t>
  </si>
  <si>
    <t>R009</t>
  </si>
  <si>
    <t>ORD100033</t>
  </si>
  <si>
    <t>ORD100034</t>
  </si>
  <si>
    <t>R026</t>
  </si>
  <si>
    <t>ORD100035</t>
  </si>
  <si>
    <t>ORD100036</t>
  </si>
  <si>
    <t>ORD100037</t>
  </si>
  <si>
    <t>ORD100038</t>
  </si>
  <si>
    <t>R052</t>
  </si>
  <si>
    <t>ORD100039</t>
  </si>
  <si>
    <t>R069</t>
  </si>
  <si>
    <t>ORD100040</t>
  </si>
  <si>
    <t>R005</t>
  </si>
  <si>
    <t>ORD100041</t>
  </si>
  <si>
    <t>R020</t>
  </si>
  <si>
    <t>ORD100042</t>
  </si>
  <si>
    <t>R079</t>
  </si>
  <si>
    <t>ORD100043</t>
  </si>
  <si>
    <t>ORD100044</t>
  </si>
  <si>
    <t>R002</t>
  </si>
  <si>
    <t>ORD100045</t>
  </si>
  <si>
    <t>R013</t>
  </si>
  <si>
    <t>ORD100046</t>
  </si>
  <si>
    <t>ORD100047</t>
  </si>
  <si>
    <t>ORD100048</t>
  </si>
  <si>
    <t>R074</t>
  </si>
  <si>
    <t>ORD100049</t>
  </si>
  <si>
    <t>R061</t>
  </si>
  <si>
    <t>ORD100050</t>
  </si>
  <si>
    <t>R008</t>
  </si>
  <si>
    <t>ORD100051</t>
  </si>
  <si>
    <t>R067</t>
  </si>
  <si>
    <t>ORD100052</t>
  </si>
  <si>
    <t>ORD100053</t>
  </si>
  <si>
    <t>ORD100054</t>
  </si>
  <si>
    <t>R011</t>
  </si>
  <si>
    <t>ORD100055</t>
  </si>
  <si>
    <t>ORD100056</t>
  </si>
  <si>
    <t>Cancelled</t>
  </si>
  <si>
    <t>ORD100057</t>
  </si>
  <si>
    <t>R036</t>
  </si>
  <si>
    <t>ORD100058</t>
  </si>
  <si>
    <t>ORD100059</t>
  </si>
  <si>
    <t>R012</t>
  </si>
  <si>
    <t>ORD100060</t>
  </si>
  <si>
    <t>R037</t>
  </si>
  <si>
    <t>ORD100061</t>
  </si>
  <si>
    <t>ORD100062</t>
  </si>
  <si>
    <t>ORD100063</t>
  </si>
  <si>
    <t>ORD100064</t>
  </si>
  <si>
    <t>R071</t>
  </si>
  <si>
    <t>ORD100065</t>
  </si>
  <si>
    <t>ORD100066</t>
  </si>
  <si>
    <t>R056</t>
  </si>
  <si>
    <t>ORD100067</t>
  </si>
  <si>
    <t>ORD100068</t>
  </si>
  <si>
    <t>ORD100069</t>
  </si>
  <si>
    <t>ORD100070</t>
  </si>
  <si>
    <t>R064</t>
  </si>
  <si>
    <t>ORD100071</t>
  </si>
  <si>
    <t>ORD100072</t>
  </si>
  <si>
    <t>R029</t>
  </si>
  <si>
    <t>ORD100073</t>
  </si>
  <si>
    <t>R078</t>
  </si>
  <si>
    <t>ORD100074</t>
  </si>
  <si>
    <t>R051</t>
  </si>
  <si>
    <t>ORD100075</t>
  </si>
  <si>
    <t>ORD100076</t>
  </si>
  <si>
    <t>ORD100077</t>
  </si>
  <si>
    <t>R050</t>
  </si>
  <si>
    <t>ORD100078</t>
  </si>
  <si>
    <t>ORD100079</t>
  </si>
  <si>
    <t>ORD100080</t>
  </si>
  <si>
    <t>ORD100081</t>
  </si>
  <si>
    <t>ORD100082</t>
  </si>
  <si>
    <t>ORD100083</t>
  </si>
  <si>
    <t>ORD100084</t>
  </si>
  <si>
    <t>ORD100085</t>
  </si>
  <si>
    <t>R058</t>
  </si>
  <si>
    <t>ORD100086</t>
  </si>
  <si>
    <t>R075</t>
  </si>
  <si>
    <t>ORD100087</t>
  </si>
  <si>
    <t>ORD100088</t>
  </si>
  <si>
    <t>ORD100089</t>
  </si>
  <si>
    <t>R059</t>
  </si>
  <si>
    <t>ORD100090</t>
  </si>
  <si>
    <t>ORD100091</t>
  </si>
  <si>
    <t>R062</t>
  </si>
  <si>
    <t>ORD100092</t>
  </si>
  <si>
    <t>ORD100093</t>
  </si>
  <si>
    <t>R068</t>
  </si>
  <si>
    <t>ORD100094</t>
  </si>
  <si>
    <t>ORD100095</t>
  </si>
  <si>
    <t>ORD100096</t>
  </si>
  <si>
    <t>R035</t>
  </si>
  <si>
    <t>ORD100097</t>
  </si>
  <si>
    <t>ORD100098</t>
  </si>
  <si>
    <t>R014</t>
  </si>
  <si>
    <t>ORD100099</t>
  </si>
  <si>
    <t>R049</t>
  </si>
  <si>
    <t>ORD100100</t>
  </si>
  <si>
    <t>R007</t>
  </si>
  <si>
    <t>ORD100101</t>
  </si>
  <si>
    <t>ORD100102</t>
  </si>
  <si>
    <t>ORD100103</t>
  </si>
  <si>
    <t>ORD100104</t>
  </si>
  <si>
    <t>ORD100105</t>
  </si>
  <si>
    <t>R072</t>
  </si>
  <si>
    <t>ORD100106</t>
  </si>
  <si>
    <t>ORD100107</t>
  </si>
  <si>
    <t>ORD100108</t>
  </si>
  <si>
    <t>R017</t>
  </si>
  <si>
    <t>ORD100109</t>
  </si>
  <si>
    <t>ORD100110</t>
  </si>
  <si>
    <t>ORD100111</t>
  </si>
  <si>
    <t>R077</t>
  </si>
  <si>
    <t>ORD100112</t>
  </si>
  <si>
    <t>ORD100113</t>
  </si>
  <si>
    <t>R027</t>
  </si>
  <si>
    <t>ORD100114</t>
  </si>
  <si>
    <t>ORD100115</t>
  </si>
  <si>
    <t>ORD100116</t>
  </si>
  <si>
    <t>ORD100117</t>
  </si>
  <si>
    <t>ORD100118</t>
  </si>
  <si>
    <t>ORD100119</t>
  </si>
  <si>
    <t>R024</t>
  </si>
  <si>
    <t>ORD100120</t>
  </si>
  <si>
    <t>ORD100121</t>
  </si>
  <si>
    <t>ORD100122</t>
  </si>
  <si>
    <t>ORD100123</t>
  </si>
  <si>
    <t>ORD100124</t>
  </si>
  <si>
    <t>ORD100125</t>
  </si>
  <si>
    <t>R046</t>
  </si>
  <si>
    <t>ORD100126</t>
  </si>
  <si>
    <t>ORD100127</t>
  </si>
  <si>
    <t>ORD100128</t>
  </si>
  <si>
    <t>ORD100129</t>
  </si>
  <si>
    <t>R028</t>
  </si>
  <si>
    <t>ORD100130</t>
  </si>
  <si>
    <t>R003</t>
  </si>
  <si>
    <t>ORD100131</t>
  </si>
  <si>
    <t>ORD100132</t>
  </si>
  <si>
    <t>R038</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</si>
  <si>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</si>
  <si>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</si>
  <si>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</si>
  <si>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</si>
  <si>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</si>
  <si>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</si>
  <si>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</si>
  <si>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</si>
  <si>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</si>
  <si>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</si>
  <si>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</si>
  <si>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</si>
  <si>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</si>
  <si>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</si>
  <si>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</si>
  <si>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</si>
  <si>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</si>
  <si>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</si>
  <si>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</si>
  <si>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</si>
  <si>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</si>
  <si>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</si>
  <si>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</si>
  <si>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</si>
  <si>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</si>
  <si>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</si>
  <si>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</si>
  <si>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</si>
  <si>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R044</t>
  </si>
  <si>
    <t>ORD100161</t>
  </si>
  <si>
    <t>R041</t>
  </si>
  <si>
    <t>ORD100162</t>
  </si>
  <si>
    <t>ORD100163</t>
  </si>
  <si>
    <t>ORD100164</t>
  </si>
  <si>
    <t>R033</t>
  </si>
  <si>
    <t>ORD100165</t>
  </si>
  <si>
    <t>ORD100166</t>
  </si>
  <si>
    <t>ORD100167</t>
  </si>
  <si>
    <t>ORD100168</t>
  </si>
  <si>
    <t>ORD100169</t>
  </si>
  <si>
    <t>ORD100170</t>
  </si>
  <si>
    <t>ORD100171</t>
  </si>
  <si>
    <t>ORD100172</t>
  </si>
  <si>
    <t>ORD100173</t>
  </si>
  <si>
    <t>R047</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</si>
  <si>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</si>
  <si>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</si>
  <si>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</si>
  <si>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</si>
  <si>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</si>
  <si>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</si>
  <si>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</si>
  <si>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</si>
  <si>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</si>
  <si>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</si>
  <si>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</si>
  <si>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</si>
  <si>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</si>
  <si>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</si>
  <si>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</si>
  <si>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</si>
  <si>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</si>
  <si>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</si>
  <si>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</si>
  <si>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</si>
  <si>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</si>
  <si>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</si>
  <si>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</si>
  <si>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</si>
  <si>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</si>
  <si>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R032</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</si>
  <si>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</si>
  <si>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</si>
  <si>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</si>
  <si>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</si>
  <si>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</si>
  <si>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</si>
  <si>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</si>
  <si>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</si>
  <si>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</si>
  <si>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</si>
  <si>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</si>
  <si>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</si>
  <si>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</si>
  <si>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</si>
  <si>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</si>
  <si>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</si>
  <si>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</si>
  <si>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</si>
  <si>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</si>
  <si>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R022</t>
  </si>
  <si>
    <t>ORD100218</t>
  </si>
  <si>
    <t>ORD100219</t>
  </si>
  <si>
    <t>ORD100220</t>
  </si>
  <si>
    <t>ORD100221</t>
  </si>
  <si>
    <t>R043</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</si>
  <si>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</si>
  <si>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</si>
  <si>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</si>
  <si>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</si>
  <si>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</si>
  <si>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</si>
  <si>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</si>
  <si>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</si>
  <si>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</si>
  <si>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</si>
  <si>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</si>
  <si>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</si>
  <si>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</si>
  <si>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</si>
  <si>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</si>
  <si>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</si>
  <si>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</si>
  <si>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</si>
  <si>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R057</t>
  </si>
  <si>
    <t>ORD100240</t>
  </si>
  <si>
    <t>R066</t>
  </si>
  <si>
    <t>week_start_date</t>
  </si>
  <si>
    <t>Row Labels</t>
  </si>
  <si>
    <t>Average of rider_assignment_time_min</t>
  </si>
  <si>
    <t>Average of rider_waiting_time_min</t>
  </si>
  <si>
    <t>Average of total_delivery_time_min</t>
  </si>
  <si>
    <t>00</t>
  </si>
  <si>
    <t>01</t>
  </si>
  <si>
    <t>02</t>
  </si>
  <si>
    <t>03</t>
  </si>
  <si>
    <t>04</t>
  </si>
  <si>
    <t>05</t>
  </si>
  <si>
    <t>06</t>
  </si>
  <si>
    <t>07</t>
  </si>
  <si>
    <t>08</t>
  </si>
  <si>
    <t>09</t>
  </si>
  <si>
    <t>10</t>
  </si>
  <si>
    <t>11</t>
  </si>
  <si>
    <t>12</t>
  </si>
  <si>
    <t>13</t>
  </si>
  <si>
    <t>14</t>
  </si>
  <si>
    <t>15</t>
  </si>
  <si>
    <t>16</t>
  </si>
  <si>
    <t>17</t>
  </si>
  <si>
    <t>18</t>
  </si>
  <si>
    <t>19</t>
  </si>
  <si>
    <t>20</t>
  </si>
  <si>
    <t>21</t>
  </si>
  <si>
    <t>22</t>
  </si>
  <si>
    <t>23</t>
  </si>
  <si>
    <t>peakhour</t>
  </si>
  <si>
    <t>Non-Peak</t>
  </si>
  <si>
    <t>Peak</t>
  </si>
  <si>
    <t>Count of order_id</t>
  </si>
  <si>
    <t>active_riders</t>
  </si>
  <si>
    <t>store_capacity</t>
  </si>
  <si>
    <t>(All)</t>
  </si>
  <si>
    <t xml:space="preserve">Peak_hour_Order </t>
  </si>
  <si>
    <t>Peak_hour_Order/ active_rider</t>
  </si>
  <si>
    <t>peak_order/rider</t>
  </si>
  <si>
    <t>order/rider</t>
  </si>
  <si>
    <t>correlation bet avg assignment and order/rider</t>
  </si>
  <si>
    <t>KPI METRICS</t>
  </si>
  <si>
    <t>TOTAL ORDER</t>
  </si>
  <si>
    <t>Average Delivery Time</t>
  </si>
  <si>
    <t>Peak Delivery Time</t>
  </si>
  <si>
    <t>Peak Assignment Time</t>
  </si>
  <si>
    <t>Rider_assignment_time</t>
  </si>
  <si>
    <t>Rider_waiting_time</t>
  </si>
  <si>
    <t>Average of delivery_time_min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</si>
</sst>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8" tint="0.79998168889431442"/>
        <bgColor theme="8" tint="0.79998168889431442"/>
      </patternFill>
    </fill>
    <fill>
      <patternFill patternType="solid">
        <fgColor theme="5"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style="thin">
        <color theme="8" tint="0.39997558519241921"/>
      </bottom>
      <diagonal/>
    </border>
    <border>
      <left/>
      <right/>
      <top/>
      <bottom style="thin">
        <color theme="8" tint="0.39997558519241921"/>
      </bottom>
      <diagonal/>
    </border>
    <border>
      <left/>
      <right/>
      <top style="thin">
        <color theme="8"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20" fontId="0" fillId="0" borderId="0" xfId="0" applyNumberFormat="1"/>
    <xf numFmtId="0" fontId="0" fillId="34" borderId="10" xfId="0" applyFill="1" applyBorder="1"/>
    <xf numFmtId="0" fontId="0" fillId="0" borderId="10" xfId="0" applyBorder="1"/>
    <xf numFmtId="14" fontId="0" fillId="34" borderId="10" xfId="0" applyNumberFormat="1" applyFill="1" applyBorder="1"/>
    <xf numFmtId="20" fontId="0" fillId="34" borderId="10" xfId="0" applyNumberFormat="1" applyFill="1" applyBorder="1"/>
    <xf numFmtId="14" fontId="0" fillId="0" borderId="10" xfId="0" applyNumberFormat="1" applyBorder="1"/>
    <xf numFmtId="20" fontId="0" fillId="0" borderId="10" xfId="0" applyNumberFormat="1" applyBorder="1"/>
    <xf numFmtId="0" fontId="13" fillId="33" borderId="11" xfId="0" applyFont="1" applyFill="1" applyBorder="1"/>
    <xf numFmtId="0" fontId="0" fillId="34" borderId="12" xfId="0" applyFill="1" applyBorder="1"/>
    <xf numFmtId="14" fontId="0" fillId="34" borderId="12" xfId="0" applyNumberFormat="1" applyFill="1" applyBorder="1"/>
    <xf numFmtId="20" fontId="0" fillId="34" borderId="12" xfId="0" applyNumberFormat="1" applyFill="1" applyBorder="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2" fontId="0" fillId="0" borderId="0" xfId="0" applyNumberFormat="1"/>
    <xf numFmtId="2" fontId="13" fillId="33" borderId="11" xfId="0" applyNumberFormat="1" applyFont="1" applyFill="1" applyBorder="1"/>
    <xf numFmtId="2" fontId="0" fillId="34" borderId="10" xfId="0" applyNumberFormat="1" applyFill="1" applyBorder="1"/>
    <xf numFmtId="2" fontId="0" fillId="0" borderId="10" xfId="0" applyNumberFormat="1" applyBorder="1"/>
    <xf numFmtId="2" fontId="0" fillId="34" borderId="12" xfId="0" applyNumberFormat="1" applyFill="1" applyBorder="1"/>
    <xf numFmtId="0" fontId="16" fillId="0" borderId="0" xfId="0" applyFont="1" applyAlignment="1">
      <alignment horizontal="center"/>
    </xf>
    <xf numFmtId="0" fontId="16" fillId="0" borderId="13" xfId="0" applyFont="1" applyBorder="1"/>
    <xf numFmtId="0" fontId="19" fillId="35" borderId="0" xfId="0" applyFont="1" applyFill="1"/>
    <xf numFmtId="2" fontId="19" fillId="35" borderId="0" xfId="0" applyNumberFormat="1" applyFont="1" applyFill="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numFmt numFmtId="25" formatCode="hh:mm"/>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numFmt numFmtId="25" formatCode="hh:mm"/>
      <fill>
        <patternFill patternType="solid">
          <fgColor theme="8" tint="0.79998168889431442"/>
          <bgColor theme="8" tint="0.79998168889431442"/>
        </patternFill>
      </fill>
      <border diagonalUp="0" diagonalDown="0" outline="0">
        <left/>
        <right/>
        <top style="thin">
          <color theme="8" tint="0.39997558519241921"/>
        </top>
        <bottom style="thin">
          <color theme="8" tint="0.39997558519241921"/>
        </bottom>
      </border>
    </dxf>
    <dxf>
      <numFmt numFmtId="2" formatCode="0.00"/>
      <fill>
        <patternFill patternType="solid">
          <fgColor theme="8" tint="0.79998168889431442"/>
          <bgColor theme="8" tint="0.79998168889431442"/>
        </patternFill>
      </fill>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numFmt numFmtId="19" formatCode="dd/mm/yyyy"/>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border diagonalUp="0" diagonalDown="0">
        <left/>
        <right/>
        <top style="thin">
          <color theme="8" tint="0.39997558519241921"/>
        </top>
        <bottom style="thin">
          <color theme="8" tint="0.39997558519241921"/>
        </bottom>
        <vertical/>
        <horizontal/>
      </border>
    </dxf>
    <dxf>
      <border outline="0">
        <top style="thin">
          <color theme="8" tint="0.39997558519241921"/>
        </top>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dxf>
    <dxf>
      <border outline="0">
        <bottom style="thin">
          <color theme="8" tint="0.39997558519241921"/>
        </bottom>
      </border>
    </dxf>
    <dxf>
      <font>
        <b/>
        <i val="0"/>
        <strike val="0"/>
        <condense val="0"/>
        <extend val="0"/>
        <outline val="0"/>
        <shadow val="0"/>
        <u val="none"/>
        <vertAlign val="baseline"/>
        <sz val="11"/>
        <color theme="0"/>
        <name val="Calibri"/>
        <family val="2"/>
        <scheme val="minor"/>
      </font>
      <fill>
        <patternFill patternType="solid">
          <fgColor theme="8"/>
          <bgColor theme="8"/>
        </patternFill>
      </fill>
    </dxf>
    <dxf>
      <numFmt numFmtId="2" formatCode="0.00"/>
    </dxf>
    <dxf>
      <numFmt numFmtId="164" formatCode="0.0"/>
    </dxf>
    <dxf>
      <numFmt numFmtId="25" formatCode="hh:mm"/>
    </dxf>
    <dxf>
      <numFmt numFmtId="19" formatCode="dd/mm/yyyy"/>
    </dxf>
    <dxf>
      <numFmt numFmtId="2" formatCode="0.00"/>
    </dxf>
    <dxf>
      <numFmt numFmtId="2" formatCode="0.00"/>
    </dxf>
    <dxf>
      <alignment horizontal="left" vertical="bottom" textRotation="0" wrapText="0" indent="0" justifyLastLine="0" shrinkToFit="0" readingOrder="0"/>
    </dxf>
    <dxf>
      <numFmt numFmtId="2" formatCode="0.00"/>
    </dxf>
    <dxf>
      <numFmt numFmtId="164" formatCode="0.0"/>
    </dxf>
    <dxf>
      <numFmt numFmtId="1" formatCode="0"/>
    </dxf>
    <dxf>
      <numFmt numFmtId="164" formatCode="0.0"/>
    </dxf>
    <dxf>
      <numFmt numFmtId="1" formatCode="0"/>
    </dxf>
    <dxf>
      <numFmt numFmtId="2" formatCode="0.00"/>
    </dxf>
    <dxf>
      <numFmt numFmtId="2" formatCode="0.00"/>
    </dxf>
    <dxf>
      <numFmt numFmtId="2" formatCode="0.00"/>
    </dxf>
    <dxf>
      <numFmt numFmtId="164" formatCode="0.0"/>
    </dxf>
    <dxf>
      <numFmt numFmtId="2" formatCode="0.00"/>
    </dxf>
    <dxf>
      <numFmt numFmtId="164" formatCode="0.0"/>
    </dxf>
    <dxf>
      <numFmt numFmtId="2" formatCode="0.00"/>
    </dxf>
    <dxf>
      <font>
        <sz val="14"/>
        <name val="Aptos Display"/>
        <family val="2"/>
        <scheme val="none"/>
      </font>
      <fill>
        <gradientFill degree="180">
          <stop position="0">
            <color theme="7" tint="0.40000610370189521"/>
          </stop>
          <stop position="1">
            <color theme="7" tint="-0.49803155613879818"/>
          </stop>
        </gradientFill>
      </fill>
    </dxf>
    <dxf>
      <fill>
        <gradientFill degree="180">
          <stop position="0">
            <color rgb="FF92D050"/>
          </stop>
          <stop position="1">
            <color rgb="FFFFFF00"/>
          </stop>
        </gradientFill>
      </fill>
    </dxf>
  </dxfs>
  <tableStyles count="1" defaultTableStyle="TableStyleMedium2" defaultPivotStyle="PivotStyleLight16">
    <tableStyle name="Slicer Style 1" pivot="0" table="0" count="6" xr9:uid="{BADF50B9-A87A-4DAC-A0EC-066FDAC623DA}">
      <tableStyleElement type="wholeTable" dxfId="45"/>
      <tableStyleElement type="headerRow" dxfId="44"/>
    </tableStyle>
  </tableStyles>
  <colors>
    <mruColors>
      <color rgb="FFFFFF66"/>
      <color rgb="FF000000"/>
      <color rgb="FFFF5050"/>
      <color rgb="FFFF0066"/>
    </mruColors>
  </colors>
  <extLst>
    <ext xmlns:x14="http://schemas.microsoft.com/office/spreadsheetml/2009/9/main" uri="{46F421CA-312F-682f-3DD2-61675219B42D}">
      <x14:dxfs count="4">
        <dxf>
          <fill>
            <patternFill>
              <bgColor theme="9" tint="0.59996337778862885"/>
            </patternFill>
          </fill>
        </dxf>
        <dxf>
          <fill>
            <gradientFill>
              <stop position="0">
                <color theme="9" tint="0.59999389629810485"/>
              </stop>
              <stop position="1">
                <color theme="9" tint="-0.25098422193060094"/>
              </stop>
            </gradientFill>
          </fill>
        </dxf>
        <dxf>
          <fill>
            <patternFill>
              <bgColor theme="7" tint="0.79998168889431442"/>
            </patternFill>
          </fill>
        </dxf>
        <dxf>
          <fill>
            <gradientFill>
              <stop position="0">
                <color theme="7" tint="0.80001220740379042"/>
              </stop>
              <stop position="1">
                <color rgb="FFFFC00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PIVOT!$B$208</c:f>
              <c:strCache>
                <c:ptCount val="1"/>
                <c:pt idx="0">
                  <c:v>Average of rider_assignment_time_min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PIVOT!$A$209:$A$216</c:f>
              <c:strCache>
                <c:ptCount val="8"/>
                <c:pt idx="0">
                  <c:v>MUM01</c:v>
                </c:pt>
                <c:pt idx="1">
                  <c:v>MUM02</c:v>
                </c:pt>
                <c:pt idx="2">
                  <c:v>MUM03</c:v>
                </c:pt>
                <c:pt idx="3">
                  <c:v>NAG01</c:v>
                </c:pt>
                <c:pt idx="4">
                  <c:v>NAG02</c:v>
                </c:pt>
                <c:pt idx="5">
                  <c:v>PUN01</c:v>
                </c:pt>
                <c:pt idx="6">
                  <c:v>PUN02</c:v>
                </c:pt>
                <c:pt idx="7">
                  <c:v>PUN03</c:v>
                </c:pt>
              </c:strCache>
            </c:strRef>
          </c:xVal>
          <c:yVal>
            <c:numRef>
              <c:f>PIVOT!$B$209:$B$216</c:f>
              <c:numCache>
                <c:formatCode>0.00</c:formatCode>
                <c:ptCount val="8"/>
                <c:pt idx="0">
                  <c:v>1.8220000000000003</c:v>
                </c:pt>
                <c:pt idx="1">
                  <c:v>2.3159999999999998</c:v>
                </c:pt>
                <c:pt idx="2">
                  <c:v>1.8566666666666667</c:v>
                </c:pt>
                <c:pt idx="3">
                  <c:v>1.784</c:v>
                </c:pt>
                <c:pt idx="4">
                  <c:v>1.9455555555555553</c:v>
                </c:pt>
                <c:pt idx="5">
                  <c:v>1.8766666666666667</c:v>
                </c:pt>
                <c:pt idx="6">
                  <c:v>1.7249999999999999</c:v>
                </c:pt>
                <c:pt idx="7">
                  <c:v>1.7575000000000001</c:v>
                </c:pt>
              </c:numCache>
            </c:numRef>
          </c:yVal>
          <c:smooth val="0"/>
          <c:extLst>
            <c:ext xmlns:c16="http://schemas.microsoft.com/office/drawing/2014/chart" uri="{C3380CC4-5D6E-409C-BE32-E72D297353CC}">
              <c16:uniqueId val="{00000000-B269-41A0-88B8-5C69383E0F08}"/>
            </c:ext>
          </c:extLst>
        </c:ser>
        <c:ser>
          <c:idx val="1"/>
          <c:order val="1"/>
          <c:tx>
            <c:strRef>
              <c:f>PIVOT!$C$208</c:f>
              <c:strCache>
                <c:ptCount val="1"/>
                <c:pt idx="0">
                  <c:v>order/rider</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PIVOT!$A$209:$A$216</c:f>
              <c:strCache>
                <c:ptCount val="8"/>
                <c:pt idx="0">
                  <c:v>MUM01</c:v>
                </c:pt>
                <c:pt idx="1">
                  <c:v>MUM02</c:v>
                </c:pt>
                <c:pt idx="2">
                  <c:v>MUM03</c:v>
                </c:pt>
                <c:pt idx="3">
                  <c:v>NAG01</c:v>
                </c:pt>
                <c:pt idx="4">
                  <c:v>NAG02</c:v>
                </c:pt>
                <c:pt idx="5">
                  <c:v>PUN01</c:v>
                </c:pt>
                <c:pt idx="6">
                  <c:v>PUN02</c:v>
                </c:pt>
                <c:pt idx="7">
                  <c:v>PUN03</c:v>
                </c:pt>
              </c:strCache>
            </c:strRef>
          </c:xVal>
          <c:yVal>
            <c:numRef>
              <c:f>PIVOT!$C$209:$C$216</c:f>
              <c:numCache>
                <c:formatCode>0.00</c:formatCode>
                <c:ptCount val="8"/>
                <c:pt idx="0">
                  <c:v>0.625</c:v>
                </c:pt>
                <c:pt idx="1">
                  <c:v>0.7142857142857143</c:v>
                </c:pt>
                <c:pt idx="2">
                  <c:v>0.375</c:v>
                </c:pt>
                <c:pt idx="3">
                  <c:v>0.7142857142857143</c:v>
                </c:pt>
                <c:pt idx="4">
                  <c:v>1.5</c:v>
                </c:pt>
                <c:pt idx="5">
                  <c:v>0.33333333333333331</c:v>
                </c:pt>
                <c:pt idx="6">
                  <c:v>0.8571428571428571</c:v>
                </c:pt>
                <c:pt idx="7">
                  <c:v>0.5</c:v>
                </c:pt>
              </c:numCache>
            </c:numRef>
          </c:yVal>
          <c:smooth val="0"/>
          <c:extLst>
            <c:ext xmlns:c16="http://schemas.microsoft.com/office/drawing/2014/chart" uri="{C3380CC4-5D6E-409C-BE32-E72D297353CC}">
              <c16:uniqueId val="{00000001-B269-41A0-88B8-5C69383E0F08}"/>
            </c:ext>
          </c:extLst>
        </c:ser>
        <c:dLbls>
          <c:showLegendKey val="0"/>
          <c:showVal val="0"/>
          <c:showCatName val="0"/>
          <c:showSerName val="0"/>
          <c:showPercent val="0"/>
          <c:showBubbleSize val="0"/>
        </c:dLbls>
        <c:axId val="1328422191"/>
        <c:axId val="1061758159"/>
      </c:scatterChart>
      <c:valAx>
        <c:axId val="13284221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58159"/>
        <c:crosses val="autoZero"/>
        <c:crossBetween val="midCat"/>
      </c:valAx>
      <c:valAx>
        <c:axId val="106175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221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[blinkit_delivery_analysis.xlsx]PIVOT!PivotTable1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ptos Display" panose="020B0004020202020204" pitchFamily="34" charset="0"/>
              </a:rPr>
              <a:t>WEEKLY</a:t>
            </a:r>
            <a:r>
              <a:rPr lang="en-US" sz="1600" b="1" baseline="0">
                <a:latin typeface="Aptos Display" panose="020B0004020202020204" pitchFamily="34" charset="0"/>
              </a:rPr>
              <a:t> AVERAGE DELIVERY TIME</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PIVOT!$A$4:$A$7</c:f>
              <c:strCache>
                <c:ptCount val="4"/>
                <c:pt idx="0">
                  <c:v>13-07-2026</c:v>
                </c:pt>
                <c:pt idx="1">
                  <c:v>20-07-2026</c:v>
                </c:pt>
                <c:pt idx="2">
                  <c:v>27-07-2026</c:v>
                </c:pt>
                <c:pt idx="3">
                  <c:v>03-08-2026</c:v>
                </c:pt>
              </c:strCache>
            </c:strRef>
          </c:cat>
          <c:val>
            <c:numRef>
              <c:f>PIVOT!$B$4:$B$7</c:f>
              <c:numCache>
                <c:formatCode>0.00</c:formatCode>
                <c:ptCount val="4"/>
                <c:pt idx="0">
                  <c:v>11.706491228070176</c:v>
                </c:pt>
                <c:pt idx="1">
                  <c:v>11.420877192982456</c:v>
                </c:pt>
                <c:pt idx="2">
                  <c:v>12.449183673469385</c:v>
                </c:pt>
                <c:pt idx="3">
                  <c:v>12.434090909090902</c:v>
                </c:pt>
              </c:numCache>
            </c:numRef>
          </c:val>
          <c:smooth val="0"/>
          <c:extLst>
            <c:ext xmlns:c16="http://schemas.microsoft.com/office/drawing/2014/chart" uri="{C3380CC4-5D6E-409C-BE32-E72D297353CC}">
              <c16:uniqueId val="{00000000-4145-404F-AA06-6CF889B1C492}"/>
            </c:ext>
          </c:extLst>
        </c:ser>
        <c:dLbls>
          <c:showLegendKey val="0"/>
          <c:showVal val="0"/>
          <c:showCatName val="0"/>
          <c:showSerName val="0"/>
          <c:showPercent val="0"/>
          <c:showBubbleSize val="0"/>
        </c:dLbls>
        <c:marker val="1"/>
        <c:smooth val="0"/>
        <c:axId val="1230938064"/>
        <c:axId val="1261305392"/>
      </c:lineChart>
      <c:catAx>
        <c:axId val="12309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5392"/>
        <c:crosses val="autoZero"/>
        <c:auto val="1"/>
        <c:lblAlgn val="ctr"/>
        <c:lblOffset val="100"/>
        <c:noMultiLvlLbl val="0"/>
      </c:catAx>
      <c:valAx>
        <c:axId val="12613053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[blinkit_delivery_analysis.xlsx]PIVOT!PivotTable3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Peak vs Non-Peak Delivery Performance</a:t>
            </a:r>
            <a:endParaRPr lang="en-IN"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Rider_waiting_time</c:v>
                </c:pt>
              </c:strCache>
            </c:strRef>
          </c:tx>
          <c:spPr>
            <a:solidFill>
              <a:schemeClr val="accent2"/>
            </a:solidFill>
            <a:ln>
              <a:noFill/>
            </a:ln>
            <a:effectLst/>
          </c:spPr>
          <c:invertIfNegative val="0"/>
          <c:cat>
            <c:strRef>
              <c:f>PIVOT!$A$15:$A$16</c:f>
              <c:strCache>
                <c:ptCount val="2"/>
                <c:pt idx="0">
                  <c:v>Non-Peak</c:v>
                </c:pt>
                <c:pt idx="1">
                  <c:v>Peak</c:v>
                </c:pt>
              </c:strCache>
            </c:strRef>
          </c:cat>
          <c:val>
            <c:numRef>
              <c:f>PIVOT!$B$15:$B$16</c:f>
              <c:numCache>
                <c:formatCode>0.00</c:formatCode>
                <c:ptCount val="2"/>
                <c:pt idx="0">
                  <c:v>0.73920634920634909</c:v>
                </c:pt>
                <c:pt idx="1">
                  <c:v>1.0295000000000001</c:v>
                </c:pt>
              </c:numCache>
            </c:numRef>
          </c:val>
          <c:extLst>
            <c:ext xmlns:c16="http://schemas.microsoft.com/office/drawing/2014/chart" uri="{C3380CC4-5D6E-409C-BE32-E72D297353CC}">
              <c16:uniqueId val="{00000000-535C-4CAB-8F2C-2D3D472412FA}"/>
            </c:ext>
          </c:extLst>
        </c:ser>
        <c:ser>
          <c:idx val="1"/>
          <c:order val="1"/>
          <c:tx>
            <c:strRef>
              <c:f>PIVOT!$C$14</c:f>
              <c:strCache>
                <c:ptCount val="1"/>
                <c:pt idx="0">
                  <c:v>Rider_assignment_time</c:v>
                </c:pt>
              </c:strCache>
            </c:strRef>
          </c:tx>
          <c:spPr>
            <a:solidFill>
              <a:schemeClr val="accent4"/>
            </a:solidFill>
            <a:ln>
              <a:noFill/>
            </a:ln>
            <a:effectLst/>
          </c:spPr>
          <c:invertIfNegative val="0"/>
          <c:cat>
            <c:strRef>
              <c:f>PIVOT!$A$15:$A$16</c:f>
              <c:strCache>
                <c:ptCount val="2"/>
                <c:pt idx="0">
                  <c:v>Non-Peak</c:v>
                </c:pt>
                <c:pt idx="1">
                  <c:v>Peak</c:v>
                </c:pt>
              </c:strCache>
            </c:strRef>
          </c:cat>
          <c:val>
            <c:numRef>
              <c:f>PIVOT!$C$15:$C$16</c:f>
              <c:numCache>
                <c:formatCode>0.00</c:formatCode>
                <c:ptCount val="2"/>
                <c:pt idx="0">
                  <c:v>1.0430687830687828</c:v>
                </c:pt>
                <c:pt idx="1">
                  <c:v>1.8924999999999996</c:v>
                </c:pt>
              </c:numCache>
            </c:numRef>
          </c:val>
          <c:extLst>
            <c:ext xmlns:c16="http://schemas.microsoft.com/office/drawing/2014/chart" uri="{C3380CC4-5D6E-409C-BE32-E72D297353CC}">
              <c16:uniqueId val="{00000001-535C-4CAB-8F2C-2D3D472412FA}"/>
            </c:ext>
          </c:extLst>
        </c:ser>
        <c:dLbls>
          <c:showLegendKey val="0"/>
          <c:showVal val="0"/>
          <c:showCatName val="0"/>
          <c:showSerName val="0"/>
          <c:showPercent val="0"/>
          <c:showBubbleSize val="0"/>
        </c:dLbls>
        <c:gapWidth val="219"/>
        <c:overlap val="-27"/>
        <c:axId val="1534706992"/>
        <c:axId val="756477840"/>
      </c:barChart>
      <c:catAx>
        <c:axId val="15347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477840"/>
        <c:crosses val="autoZero"/>
        <c:auto val="1"/>
        <c:lblAlgn val="ctr"/>
        <c:lblOffset val="100"/>
        <c:noMultiLvlLbl val="0"/>
      </c:catAx>
      <c:valAx>
        <c:axId val="756477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06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[blinkit_delivery_analysis.xlsx]PIVOT!PivotTable5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Delivery Time by Hour</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PIVOT!$A$31:$A$37</c:f>
              <c:strCache>
                <c:ptCount val="7"/>
                <c:pt idx="0">
                  <c:v>17</c:v>
                </c:pt>
                <c:pt idx="1">
                  <c:v>18</c:v>
                </c:pt>
                <c:pt idx="2">
                  <c:v>19</c:v>
                </c:pt>
                <c:pt idx="3">
                  <c:v>20</c:v>
                </c:pt>
                <c:pt idx="4">
                  <c:v>21</c:v>
                </c:pt>
                <c:pt idx="5">
                  <c:v>22</c:v>
                </c:pt>
                <c:pt idx="6">
                  <c:v>23</c:v>
                </c:pt>
              </c:strCache>
            </c:strRef>
          </c:cat>
          <c:val>
            <c:numRef>
              <c:f>PIVOT!$B$31:$B$37</c:f>
              <c:numCache>
                <c:formatCode>0.00</c:formatCode>
                <c:ptCount val="7"/>
                <c:pt idx="0">
                  <c:v>11.745000000000001</c:v>
                </c:pt>
                <c:pt idx="1">
                  <c:v>12.227142857142857</c:v>
                </c:pt>
                <c:pt idx="2">
                  <c:v>13.401538461538461</c:v>
                </c:pt>
                <c:pt idx="3">
                  <c:v>14.071999999999999</c:v>
                </c:pt>
                <c:pt idx="4">
                  <c:v>12.846666666666666</c:v>
                </c:pt>
                <c:pt idx="5">
                  <c:v>13.715454545454543</c:v>
                </c:pt>
                <c:pt idx="6">
                  <c:v>10.843999999999999</c:v>
                </c:pt>
              </c:numCache>
            </c:numRef>
          </c:val>
          <c:smooth val="0"/>
          <c:extLst>
            <c:ext xmlns:c16="http://schemas.microsoft.com/office/drawing/2014/chart" uri="{C3380CC4-5D6E-409C-BE32-E72D297353CC}">
              <c16:uniqueId val="{00000000-AF0E-488B-90CB-68BE484A8AF8}"/>
            </c:ext>
          </c:extLst>
        </c:ser>
        <c:dLbls>
          <c:showLegendKey val="0"/>
          <c:showVal val="0"/>
          <c:showCatName val="0"/>
          <c:showSerName val="0"/>
          <c:showPercent val="0"/>
          <c:showBubbleSize val="0"/>
        </c:dLbls>
        <c:marker val="1"/>
        <c:smooth val="0"/>
        <c:axId val="1534637856"/>
        <c:axId val="1092504112"/>
      </c:lineChart>
      <c:catAx>
        <c:axId val="15346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4112"/>
        <c:crosses val="autoZero"/>
        <c:auto val="1"/>
        <c:lblAlgn val="ctr"/>
        <c:lblOffset val="100"/>
        <c:noMultiLvlLbl val="0"/>
      </c:catAx>
      <c:valAx>
        <c:axId val="10925041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63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[blinkit_delivery_analysis.xlsx]PIVOT!PivotTable6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Total Delivery Time by Store</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PIVOT!$B$59</c:f>
              <c:strCache>
                <c:ptCount val="1"/>
                <c:pt idx="0">
                  <c:v>Total</c:v>
                </c:pt>
              </c:strCache>
            </c:strRef>
          </c:tx>
          <c:spPr>
            <a:solidFill>
              <a:schemeClr val="accent6"/>
            </a:solidFill>
            <a:ln>
              <a:noFill/>
            </a:ln>
            <a:effectLst/>
          </c:spPr>
          <c:invertIfNegative val="0"/>
          <c:cat>
            <c:strRef>
              <c:f>PIVOT!$A$60:$A$67</c:f>
              <c:strCache>
                <c:ptCount val="8"/>
                <c:pt idx="0">
                  <c:v>MUM01</c:v>
                </c:pt>
                <c:pt idx="1">
                  <c:v>MUM02</c:v>
                </c:pt>
                <c:pt idx="2">
                  <c:v>MUM03</c:v>
                </c:pt>
                <c:pt idx="3">
                  <c:v>NAG01</c:v>
                </c:pt>
                <c:pt idx="4">
                  <c:v>NAG02</c:v>
                </c:pt>
                <c:pt idx="5">
                  <c:v>PUN01</c:v>
                </c:pt>
                <c:pt idx="6">
                  <c:v>PUN02</c:v>
                </c:pt>
                <c:pt idx="7">
                  <c:v>PUN03</c:v>
                </c:pt>
              </c:strCache>
            </c:strRef>
          </c:cat>
          <c:val>
            <c:numRef>
              <c:f>PIVOT!$B$60:$B$67</c:f>
              <c:numCache>
                <c:formatCode>0.00</c:formatCode>
                <c:ptCount val="8"/>
                <c:pt idx="0">
                  <c:v>11.268260869565218</c:v>
                </c:pt>
                <c:pt idx="1">
                  <c:v>11.769565217391303</c:v>
                </c:pt>
                <c:pt idx="2">
                  <c:v>11.961481481481478</c:v>
                </c:pt>
                <c:pt idx="3">
                  <c:v>12.525238095238095</c:v>
                </c:pt>
                <c:pt idx="4">
                  <c:v>12.575833333333334</c:v>
                </c:pt>
                <c:pt idx="5">
                  <c:v>11.914137931034485</c:v>
                </c:pt>
                <c:pt idx="6">
                  <c:v>11.541521739130435</c:v>
                </c:pt>
                <c:pt idx="7">
                  <c:v>12.633888888888889</c:v>
                </c:pt>
              </c:numCache>
            </c:numRef>
          </c:val>
          <c:extLst>
            <c:ext xmlns:c16="http://schemas.microsoft.com/office/drawing/2014/chart" uri="{C3380CC4-5D6E-409C-BE32-E72D297353CC}">
              <c16:uniqueId val="{00000000-7FFE-4F14-8FEE-0F641B0C0CD3}"/>
            </c:ext>
          </c:extLst>
        </c:ser>
        <c:dLbls>
          <c:showLegendKey val="0"/>
          <c:showVal val="0"/>
          <c:showCatName val="0"/>
          <c:showSerName val="0"/>
          <c:showPercent val="0"/>
          <c:showBubbleSize val="0"/>
        </c:dLbls>
        <c:gapWidth val="182"/>
        <c:axId val="1534644352"/>
        <c:axId val="1261321232"/>
      </c:barChart>
      <c:catAx>
        <c:axId val="15346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21232"/>
        <c:crosses val="autoZero"/>
        <c:auto val="1"/>
        <c:lblAlgn val="ctr"/>
        <c:lblOffset val="100"/>
        <c:noMultiLvlLbl val="0"/>
      </c:catAx>
      <c:valAx>
        <c:axId val="12613212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64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[blinkit_delivery_analysis.xlsx]PIVOT!PivotTable1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ptos Display" panose="020B0004020202020204" pitchFamily="34" charset="0"/>
              </a:rPr>
              <a:t>WEEKLY</a:t>
            </a:r>
            <a:r>
              <a:rPr lang="en-US" sz="1600" b="1" baseline="0">
                <a:latin typeface="Aptos Display" panose="020B0004020202020204" pitchFamily="34" charset="0"/>
              </a:rPr>
              <a:t> AVERAGE DELIVERY TIME</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PIVOT!$A$4:$A$7</c:f>
              <c:strCache>
                <c:ptCount val="4"/>
                <c:pt idx="0">
                  <c:v>13-07-2026</c:v>
                </c:pt>
                <c:pt idx="1">
                  <c:v>20-07-2026</c:v>
                </c:pt>
                <c:pt idx="2">
                  <c:v>27-07-2026</c:v>
                </c:pt>
                <c:pt idx="3">
                  <c:v>03-08-2026</c:v>
                </c:pt>
              </c:strCache>
            </c:strRef>
          </c:cat>
          <c:val>
            <c:numRef>
              <c:f>PIVOT!$B$4:$B$7</c:f>
              <c:numCache>
                <c:formatCode>0.00</c:formatCode>
                <c:ptCount val="4"/>
                <c:pt idx="0">
                  <c:v>11.706491228070176</c:v>
                </c:pt>
                <c:pt idx="1">
                  <c:v>11.420877192982456</c:v>
                </c:pt>
                <c:pt idx="2">
                  <c:v>12.449183673469385</c:v>
                </c:pt>
                <c:pt idx="3">
                  <c:v>12.434090909090902</c:v>
                </c:pt>
              </c:numCache>
            </c:numRef>
          </c:val>
          <c:smooth val="0"/>
          <c:extLst>
            <c:ext xmlns:c16="http://schemas.microsoft.com/office/drawing/2014/chart" uri="{C3380CC4-5D6E-409C-BE32-E72D297353CC}">
              <c16:uniqueId val="{00000000-D3C2-4EA3-85DD-946B793CC72D}"/>
            </c:ext>
          </c:extLst>
        </c:ser>
        <c:dLbls>
          <c:showLegendKey val="0"/>
          <c:showVal val="0"/>
          <c:showCatName val="0"/>
          <c:showSerName val="0"/>
          <c:showPercent val="0"/>
          <c:showBubbleSize val="0"/>
        </c:dLbls>
        <c:marker val="1"/>
        <c:smooth val="0"/>
        <c:axId val="1230938064"/>
        <c:axId val="1261305392"/>
      </c:lineChart>
      <c:catAx>
        <c:axId val="12309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05392"/>
        <c:crosses val="autoZero"/>
        <c:auto val="1"/>
        <c:lblAlgn val="ctr"/>
        <c:lblOffset val="100"/>
        <c:noMultiLvlLbl val="0"/>
      </c:catAx>
      <c:valAx>
        <c:axId val="12613053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[blinkit_delivery_analysis.xlsx]PIVOT!PivotTable5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Delivery Time by Hour</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PIVOT!$A$31:$A$37</c:f>
              <c:strCache>
                <c:ptCount val="7"/>
                <c:pt idx="0">
                  <c:v>17</c:v>
                </c:pt>
                <c:pt idx="1">
                  <c:v>18</c:v>
                </c:pt>
                <c:pt idx="2">
                  <c:v>19</c:v>
                </c:pt>
                <c:pt idx="3">
                  <c:v>20</c:v>
                </c:pt>
                <c:pt idx="4">
                  <c:v>21</c:v>
                </c:pt>
                <c:pt idx="5">
                  <c:v>22</c:v>
                </c:pt>
                <c:pt idx="6">
                  <c:v>23</c:v>
                </c:pt>
              </c:strCache>
            </c:strRef>
          </c:cat>
          <c:val>
            <c:numRef>
              <c:f>PIVOT!$B$31:$B$37</c:f>
              <c:numCache>
                <c:formatCode>0.00</c:formatCode>
                <c:ptCount val="7"/>
                <c:pt idx="0">
                  <c:v>11.745000000000001</c:v>
                </c:pt>
                <c:pt idx="1">
                  <c:v>12.227142857142857</c:v>
                </c:pt>
                <c:pt idx="2">
                  <c:v>13.401538461538461</c:v>
                </c:pt>
                <c:pt idx="3">
                  <c:v>14.071999999999999</c:v>
                </c:pt>
                <c:pt idx="4">
                  <c:v>12.846666666666666</c:v>
                </c:pt>
                <c:pt idx="5">
                  <c:v>13.715454545454543</c:v>
                </c:pt>
                <c:pt idx="6">
                  <c:v>10.843999999999999</c:v>
                </c:pt>
              </c:numCache>
            </c:numRef>
          </c:val>
          <c:smooth val="0"/>
          <c:extLst>
            <c:ext xmlns:c16="http://schemas.microsoft.com/office/drawing/2014/chart" uri="{C3380CC4-5D6E-409C-BE32-E72D297353CC}">
              <c16:uniqueId val="{00000000-FBEC-4E8E-B143-68B3C04EEF27}"/>
            </c:ext>
          </c:extLst>
        </c:ser>
        <c:dLbls>
          <c:showLegendKey val="0"/>
          <c:showVal val="0"/>
          <c:showCatName val="0"/>
          <c:showSerName val="0"/>
          <c:showPercent val="0"/>
          <c:showBubbleSize val="0"/>
        </c:dLbls>
        <c:marker val="1"/>
        <c:smooth val="0"/>
        <c:axId val="1534637856"/>
        <c:axId val="1092504112"/>
      </c:lineChart>
      <c:catAx>
        <c:axId val="15346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4112"/>
        <c:crosses val="autoZero"/>
        <c:auto val="1"/>
        <c:lblAlgn val="ctr"/>
        <c:lblOffset val="100"/>
        <c:noMultiLvlLbl val="0"/>
      </c:catAx>
      <c:valAx>
        <c:axId val="10925041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63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[blinkit_delivery_analysis.xlsx]PIVOT!PivotTable3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Peak vs Non-Peak Delivery Performance</a:t>
            </a:r>
            <a:endParaRPr lang="en-IN"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Rider_waiting_time</c:v>
                </c:pt>
              </c:strCache>
            </c:strRef>
          </c:tx>
          <c:spPr>
            <a:solidFill>
              <a:schemeClr val="accent2"/>
            </a:solidFill>
            <a:ln>
              <a:noFill/>
            </a:ln>
            <a:effectLst/>
          </c:spPr>
          <c:invertIfNegative val="0"/>
          <c:cat>
            <c:strRef>
              <c:f>PIVOT!$A$15:$A$16</c:f>
              <c:strCache>
                <c:ptCount val="2"/>
                <c:pt idx="0">
                  <c:v>Non-Peak</c:v>
                </c:pt>
                <c:pt idx="1">
                  <c:v>Peak</c:v>
                </c:pt>
              </c:strCache>
            </c:strRef>
          </c:cat>
          <c:val>
            <c:numRef>
              <c:f>PIVOT!$B$15:$B$16</c:f>
              <c:numCache>
                <c:formatCode>0.00</c:formatCode>
                <c:ptCount val="2"/>
                <c:pt idx="0">
                  <c:v>0.73920634920634909</c:v>
                </c:pt>
                <c:pt idx="1">
                  <c:v>1.0295000000000001</c:v>
                </c:pt>
              </c:numCache>
            </c:numRef>
          </c:val>
          <c:extLst>
            <c:ext xmlns:c16="http://schemas.microsoft.com/office/drawing/2014/chart" uri="{C3380CC4-5D6E-409C-BE32-E72D297353CC}">
              <c16:uniqueId val="{00000000-D812-419F-AD31-CB74132F1F02}"/>
            </c:ext>
          </c:extLst>
        </c:ser>
        <c:ser>
          <c:idx val="1"/>
          <c:order val="1"/>
          <c:tx>
            <c:strRef>
              <c:f>PIVOT!$C$14</c:f>
              <c:strCache>
                <c:ptCount val="1"/>
                <c:pt idx="0">
                  <c:v>Rider_assignment_time</c:v>
                </c:pt>
              </c:strCache>
            </c:strRef>
          </c:tx>
          <c:spPr>
            <a:solidFill>
              <a:schemeClr val="accent4"/>
            </a:solidFill>
            <a:ln>
              <a:noFill/>
            </a:ln>
            <a:effectLst/>
          </c:spPr>
          <c:invertIfNegative val="0"/>
          <c:cat>
            <c:strRef>
              <c:f>PIVOT!$A$15:$A$16</c:f>
              <c:strCache>
                <c:ptCount val="2"/>
                <c:pt idx="0">
                  <c:v>Non-Peak</c:v>
                </c:pt>
                <c:pt idx="1">
                  <c:v>Peak</c:v>
                </c:pt>
              </c:strCache>
            </c:strRef>
          </c:cat>
          <c:val>
            <c:numRef>
              <c:f>PIVOT!$C$15:$C$16</c:f>
              <c:numCache>
                <c:formatCode>0.00</c:formatCode>
                <c:ptCount val="2"/>
                <c:pt idx="0">
                  <c:v>1.0430687830687828</c:v>
                </c:pt>
                <c:pt idx="1">
                  <c:v>1.8924999999999996</c:v>
                </c:pt>
              </c:numCache>
            </c:numRef>
          </c:val>
          <c:extLst>
            <c:ext xmlns:c16="http://schemas.microsoft.com/office/drawing/2014/chart" uri="{C3380CC4-5D6E-409C-BE32-E72D297353CC}">
              <c16:uniqueId val="{00000001-D812-419F-AD31-CB74132F1F02}"/>
            </c:ext>
          </c:extLst>
        </c:ser>
        <c:dLbls>
          <c:showLegendKey val="0"/>
          <c:showVal val="0"/>
          <c:showCatName val="0"/>
          <c:showSerName val="0"/>
          <c:showPercent val="0"/>
          <c:showBubbleSize val="0"/>
        </c:dLbls>
        <c:gapWidth val="219"/>
        <c:overlap val="-27"/>
        <c:axId val="1534706992"/>
        <c:axId val="756477840"/>
      </c:barChart>
      <c:catAx>
        <c:axId val="15347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477840"/>
        <c:crosses val="autoZero"/>
        <c:auto val="1"/>
        <c:lblAlgn val="ctr"/>
        <c:lblOffset val="100"/>
        <c:noMultiLvlLbl val="0"/>
      </c:catAx>
      <c:valAx>
        <c:axId val="756477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06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[blinkit_delivery_analysis.xlsx]PIVOT!PivotTable6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Aptos Display" panose="020B0004020202020204" pitchFamily="34" charset="0"/>
              </a:rPr>
              <a:t>Total Delivery Time by Store</a:t>
            </a:r>
            <a:endParaRPr lang="en-US" sz="16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PIVOT!$B$59</c:f>
              <c:strCache>
                <c:ptCount val="1"/>
                <c:pt idx="0">
                  <c:v>Total</c:v>
                </c:pt>
              </c:strCache>
            </c:strRef>
          </c:tx>
          <c:spPr>
            <a:solidFill>
              <a:schemeClr val="accent6"/>
            </a:solidFill>
            <a:ln>
              <a:noFill/>
            </a:ln>
            <a:effectLst/>
          </c:spPr>
          <c:invertIfNegative val="0"/>
          <c:cat>
            <c:strRef>
              <c:f>PIVOT!$A$60:$A$67</c:f>
              <c:strCache>
                <c:ptCount val="8"/>
                <c:pt idx="0">
                  <c:v>MUM01</c:v>
                </c:pt>
                <c:pt idx="1">
                  <c:v>MUM02</c:v>
                </c:pt>
                <c:pt idx="2">
                  <c:v>MUM03</c:v>
                </c:pt>
                <c:pt idx="3">
                  <c:v>NAG01</c:v>
                </c:pt>
                <c:pt idx="4">
                  <c:v>NAG02</c:v>
                </c:pt>
                <c:pt idx="5">
                  <c:v>PUN01</c:v>
                </c:pt>
                <c:pt idx="6">
                  <c:v>PUN02</c:v>
                </c:pt>
                <c:pt idx="7">
                  <c:v>PUN03</c:v>
                </c:pt>
              </c:strCache>
            </c:strRef>
          </c:cat>
          <c:val>
            <c:numRef>
              <c:f>PIVOT!$B$60:$B$67</c:f>
              <c:numCache>
                <c:formatCode>0.00</c:formatCode>
                <c:ptCount val="8"/>
                <c:pt idx="0">
                  <c:v>11.268260869565218</c:v>
                </c:pt>
                <c:pt idx="1">
                  <c:v>11.769565217391303</c:v>
                </c:pt>
                <c:pt idx="2">
                  <c:v>11.961481481481478</c:v>
                </c:pt>
                <c:pt idx="3">
                  <c:v>12.525238095238095</c:v>
                </c:pt>
                <c:pt idx="4">
                  <c:v>12.575833333333334</c:v>
                </c:pt>
                <c:pt idx="5">
                  <c:v>11.914137931034485</c:v>
                </c:pt>
                <c:pt idx="6">
                  <c:v>11.541521739130435</c:v>
                </c:pt>
                <c:pt idx="7">
                  <c:v>12.633888888888889</c:v>
                </c:pt>
              </c:numCache>
            </c:numRef>
          </c:val>
          <c:extLst>
            <c:ext xmlns:c16="http://schemas.microsoft.com/office/drawing/2014/chart" uri="{C3380CC4-5D6E-409C-BE32-E72D297353CC}">
              <c16:uniqueId val="{00000000-0128-430A-A13D-1546DFA144C8}"/>
            </c:ext>
          </c:extLst>
        </c:ser>
        <c:dLbls>
          <c:showLegendKey val="0"/>
          <c:showVal val="0"/>
          <c:showCatName val="0"/>
          <c:showSerName val="0"/>
          <c:showPercent val="0"/>
          <c:showBubbleSize val="0"/>
        </c:dLbls>
        <c:gapWidth val="182"/>
        <c:axId val="1534644352"/>
        <c:axId val="1261321232"/>
      </c:barChart>
      <c:catAx>
        <c:axId val="15346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21232"/>
        <c:crosses val="autoZero"/>
        <c:auto val="1"/>
        <c:lblAlgn val="ctr"/>
        <c:lblOffset val="100"/>
        <c:noMultiLvlLbl val="0"/>
      </c:catAx>
      <c:valAx>
        <c:axId val="12613212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64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803519</xdr:colOff>
      <xdr:row>192</xdr:row>
      <xdr:rowOff>73269</xdr:rowOff>
    </xdr:from>
    <xdr:to>
      <xdr:col>15</xdr:col>
      <xdr:colOff>236090</xdr:colOff>
      <xdr:row>212</xdr:row>
      <xdr:rowOff>28331</xdr:rowOff>
    </xdr:to>
    <xdr:graphicFrame macro="">
      <xdr:nvGraphicFramePr>
        <xdr:cNvPr id="2" name="Chart 1">
          <a:extLst>
            <a:ext uri="{FF2B5EF4-FFF2-40B4-BE49-F238E27FC236}">
              <a16:creationId xmlns:a16="http://schemas.microsoft.com/office/drawing/2014/main" id="{9C5BE775-ABE6-2D98-36CB-1448F19F6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441243</xdr:colOff>
      <xdr:row>0</xdr:row>
      <xdr:rowOff>44939</xdr:rowOff>
    </xdr:from>
    <xdr:to>
      <xdr:col>10</xdr:col>
      <xdr:colOff>203524</xdr:colOff>
      <xdr:row>12</xdr:row>
      <xdr:rowOff>56988</xdr:rowOff>
    </xdr:to>
    <xdr:graphicFrame macro="">
      <xdr:nvGraphicFramePr>
        <xdr:cNvPr id="3" name="Chart 2">
          <a:extLst>
            <a:ext uri="{FF2B5EF4-FFF2-40B4-BE49-F238E27FC236}">
              <a16:creationId xmlns:a16="http://schemas.microsoft.com/office/drawing/2014/main" id="{96FE84C5-A7AB-0E08-1878-9B91D6149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117230</xdr:colOff>
      <xdr:row>13</xdr:row>
      <xdr:rowOff>53079</xdr:rowOff>
    </xdr:from>
    <xdr:to>
      <xdr:col>19</xdr:col>
      <xdr:colOff>154679</xdr:colOff>
      <xdr:row>27</xdr:row>
      <xdr:rowOff>170960</xdr:rowOff>
    </xdr:to>
    <xdr:graphicFrame macro="">
      <xdr:nvGraphicFramePr>
        <xdr:cNvPr id="4" name="Chart 3">
          <a:extLst>
            <a:ext uri="{FF2B5EF4-FFF2-40B4-BE49-F238E27FC236}">
              <a16:creationId xmlns:a16="http://schemas.microsoft.com/office/drawing/2014/main" id="{BFC9A8C6-7AEC-CE01-901F-2A30EA90B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351692</xdr:colOff>
      <xdr:row>30</xdr:row>
      <xdr:rowOff>93784</xdr:rowOff>
    </xdr:from>
    <xdr:to>
      <xdr:col>13</xdr:col>
      <xdr:colOff>284936</xdr:colOff>
      <xdr:row>45</xdr:row>
      <xdr:rowOff>28330</xdr:rowOff>
    </xdr:to>
    <xdr:graphicFrame macro="">
      <xdr:nvGraphicFramePr>
        <xdr:cNvPr id="5" name="Chart 4">
          <a:extLst>
            <a:ext uri="{FF2B5EF4-FFF2-40B4-BE49-F238E27FC236}">
              <a16:creationId xmlns:a16="http://schemas.microsoft.com/office/drawing/2014/main" id="{6138CECC-A42F-46CE-B8FE-1A72AA9C2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628487</xdr:colOff>
      <xdr:row>50</xdr:row>
      <xdr:rowOff>150773</xdr:rowOff>
    </xdr:from>
    <xdr:to>
      <xdr:col>10</xdr:col>
      <xdr:colOff>153051</xdr:colOff>
      <xdr:row>65</xdr:row>
      <xdr:rowOff>85319</xdr:rowOff>
    </xdr:to>
    <xdr:graphicFrame macro="">
      <xdr:nvGraphicFramePr>
        <xdr:cNvPr id="6" name="Chart 5">
          <a:extLst>
            <a:ext uri="{FF2B5EF4-FFF2-40B4-BE49-F238E27FC236}">
              <a16:creationId xmlns:a16="http://schemas.microsoft.com/office/drawing/2014/main" id="{F673E181-D036-1079-7146-0E9729B36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213756</xdr:colOff>
      <xdr:row>0</xdr:row>
      <xdr:rowOff>178369</xdr:rowOff>
    </xdr:from>
    <xdr:to>
      <xdr:col>21</xdr:col>
      <xdr:colOff>385280</xdr:colOff>
      <xdr:row>32</xdr:row>
      <xdr:rowOff>118546</xdr:rowOff>
    </xdr:to>
    <xdr:sp macro="" textlink="">
      <xdr:nvSpPr>
        <xdr:cNvPr id="2" name="Rectangle: Rounded Corners 1">
          <a:extLst>
            <a:ext uri="{FF2B5EF4-FFF2-40B4-BE49-F238E27FC236}">
              <a16:creationId xmlns:a16="http://schemas.microsoft.com/office/drawing/2014/main" id="{C8CDD540-3D06-394E-6478-99BBADAA9F31}"/>
            </a:ext>
          </a:extLst>
        </xdr:cNvPr>
        <xdr:cNvSpPr/>
      </xdr:nvSpPr>
      <xdr:spPr>
        <a:xfrm>
          <a:off x="213756" y="178369"/>
          <a:ext cx="12907198" cy="5876357"/>
        </a:xfrm>
        <a:prstGeom prst="roundRect">
          <a:avLst>
            <a:gd name="adj" fmla="val 1573"/>
          </a:avLst>
        </a:prstGeom>
        <a:gradFill>
          <a:gsLst>
            <a:gs pos="0">
              <a:srgbClr val="FFFF00"/>
            </a:gs>
            <a:gs pos="100000">
              <a:schemeClr val="bg2"/>
            </a:gs>
          </a:gsLst>
          <a:lin ang="2400000" scaled="0"/>
        </a:gra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242584</xdr:colOff>
      <xdr:row>1</xdr:row>
      <xdr:rowOff>0</xdr:rowOff>
    </xdr:from>
    <xdr:to>
      <xdr:col>21</xdr:col>
      <xdr:colOff>349607</xdr:colOff>
      <xdr:row>31</xdr:row>
      <xdr:rowOff>128428</xdr:rowOff>
    </xdr:to>
    <xdr:grpSp>
      <xdr:nvGrpSpPr>
        <xdr:cNvPr id="25" name="Group 24">
          <a:extLst>
            <a:ext uri="{FF2B5EF4-FFF2-40B4-BE49-F238E27FC236}">
              <a16:creationId xmlns:a16="http://schemas.microsoft.com/office/drawing/2014/main" id="{24923D7E-8CC6-730A-0B97-A655FC63C753}"/>
            </a:ext>
          </a:extLst>
        </xdr:cNvPr>
        <xdr:cNvGrpSpPr/>
      </xdr:nvGrpSpPr>
      <xdr:grpSpPr>
        <a:xfrm>
          <a:off x="242584" y="185506"/>
          <a:ext cx="12842697" cy="5693596"/>
          <a:chOff x="242584" y="185506"/>
          <a:chExt cx="12842697" cy="5693596"/>
        </a:xfrm>
      </xdr:grpSpPr>
      <xdr:grpSp>
        <xdr:nvGrpSpPr>
          <xdr:cNvPr id="22" name="Group 21">
            <a:extLst>
              <a:ext uri="{FF2B5EF4-FFF2-40B4-BE49-F238E27FC236}">
                <a16:creationId xmlns:a16="http://schemas.microsoft.com/office/drawing/2014/main" id="{0A885DBE-2A8F-F4E2-9A11-E4BFC2CEAE1D}"/>
              </a:ext>
            </a:extLst>
          </xdr:cNvPr>
          <xdr:cNvGrpSpPr/>
        </xdr:nvGrpSpPr>
        <xdr:grpSpPr>
          <a:xfrm>
            <a:off x="413629" y="790779"/>
            <a:ext cx="12352831" cy="596696"/>
            <a:chOff x="387302" y="646476"/>
            <a:chExt cx="10903640" cy="604142"/>
          </a:xfrm>
          <a:gradFill>
            <a:gsLst>
              <a:gs pos="0">
                <a:srgbClr val="FFFF00"/>
              </a:gs>
              <a:gs pos="100000">
                <a:schemeClr val="bg2"/>
              </a:gs>
            </a:gsLst>
            <a:lin ang="2400000" scaled="0"/>
          </a:gradFill>
        </xdr:grpSpPr>
        <xdr:grpSp>
          <xdr:nvGrpSpPr>
            <xdr:cNvPr id="9" name="Group 8">
              <a:extLst>
                <a:ext uri="{FF2B5EF4-FFF2-40B4-BE49-F238E27FC236}">
                  <a16:creationId xmlns:a16="http://schemas.microsoft.com/office/drawing/2014/main" id="{4248E987-F17F-1F76-A214-D2E7F503A510}"/>
                </a:ext>
              </a:extLst>
            </xdr:cNvPr>
            <xdr:cNvGrpSpPr/>
          </xdr:nvGrpSpPr>
          <xdr:grpSpPr>
            <a:xfrm>
              <a:off x="387302" y="646476"/>
              <a:ext cx="10903640" cy="604142"/>
              <a:chOff x="361903" y="645583"/>
              <a:chExt cx="8808556" cy="921096"/>
            </a:xfrm>
            <a:grpFill/>
          </xdr:grpSpPr>
          <xdr:sp macro="" textlink="">
            <xdr:nvSpPr>
              <xdr:cNvPr id="3" name="Rectangle: Rounded Corners 2">
                <a:extLst>
                  <a:ext uri="{FF2B5EF4-FFF2-40B4-BE49-F238E27FC236}">
                    <a16:creationId xmlns:a16="http://schemas.microsoft.com/office/drawing/2014/main" id="{3E95568B-8413-3C9B-667A-4F7EFC0D4F84}"/>
                  </a:ext>
                </a:extLst>
              </xdr:cNvPr>
              <xdr:cNvSpPr/>
            </xdr:nvSpPr>
            <xdr:spPr>
              <a:xfrm>
                <a:off x="4933598" y="645583"/>
                <a:ext cx="1762124" cy="921096"/>
              </a:xfrm>
              <a:prstGeom prst="round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58245751-8233-46F1-981A-9771DB4020E2}"/>
                  </a:ext>
                </a:extLst>
              </xdr:cNvPr>
              <xdr:cNvSpPr/>
            </xdr:nvSpPr>
            <xdr:spPr>
              <a:xfrm>
                <a:off x="2634637" y="645583"/>
                <a:ext cx="1786281" cy="921096"/>
              </a:xfrm>
              <a:prstGeom prst="round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D1CE02BB-CF48-4290-9146-D1F40ED4FBCE}"/>
                  </a:ext>
                </a:extLst>
              </xdr:cNvPr>
              <xdr:cNvSpPr/>
            </xdr:nvSpPr>
            <xdr:spPr>
              <a:xfrm>
                <a:off x="7208401" y="645583"/>
                <a:ext cx="1962058" cy="921096"/>
              </a:xfrm>
              <a:prstGeom prst="round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787F5F93-9606-4BDE-A451-0A92210D3053}"/>
                  </a:ext>
                </a:extLst>
              </xdr:cNvPr>
              <xdr:cNvSpPr/>
            </xdr:nvSpPr>
            <xdr:spPr>
              <a:xfrm>
                <a:off x="361903" y="645583"/>
                <a:ext cx="1760054" cy="921096"/>
              </a:xfrm>
              <a:prstGeom prst="round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8" name="TextBox 7">
              <a:extLst>
                <a:ext uri="{FF2B5EF4-FFF2-40B4-BE49-F238E27FC236}">
                  <a16:creationId xmlns:a16="http://schemas.microsoft.com/office/drawing/2014/main" id="{C6682E06-5A9D-D8A0-E419-A501F957624F}"/>
                </a:ext>
              </a:extLst>
            </xdr:cNvPr>
            <xdr:cNvSpPr txBox="1"/>
          </xdr:nvSpPr>
          <xdr:spPr>
            <a:xfrm>
              <a:off x="898560" y="869023"/>
              <a:ext cx="952500" cy="323850"/>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accent4">
                      <a:lumMod val="75000"/>
                    </a:schemeClr>
                  </a:solidFill>
                  <a:latin typeface="Algerian" panose="04020705040A02060702" pitchFamily="82" charset="0"/>
                </a:rPr>
                <a:t>240</a:t>
              </a:r>
            </a:p>
          </xdr:txBody>
        </xdr:sp>
        <xdr:sp macro="" textlink="">
          <xdr:nvSpPr>
            <xdr:cNvPr id="7" name="TextBox 6">
              <a:extLst>
                <a:ext uri="{FF2B5EF4-FFF2-40B4-BE49-F238E27FC236}">
                  <a16:creationId xmlns:a16="http://schemas.microsoft.com/office/drawing/2014/main" id="{70ABBBAB-B90D-B4DE-F021-2DB8F8944CDC}"/>
                </a:ext>
              </a:extLst>
            </xdr:cNvPr>
            <xdr:cNvSpPr txBox="1"/>
          </xdr:nvSpPr>
          <xdr:spPr>
            <a:xfrm>
              <a:off x="444499" y="658118"/>
              <a:ext cx="2000394" cy="236305"/>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200" b="1">
                  <a:solidFill>
                    <a:schemeClr val="accent6"/>
                  </a:solidFill>
                  <a:latin typeface="Aptos Display" panose="020B0004020202020204" pitchFamily="34" charset="0"/>
                </a:rPr>
                <a:t>TOTAL</a:t>
              </a:r>
              <a:r>
                <a:rPr lang="en-IN" sz="1200" b="1" baseline="0">
                  <a:solidFill>
                    <a:schemeClr val="accent6"/>
                  </a:solidFill>
                  <a:latin typeface="Aptos Display" panose="020B0004020202020204" pitchFamily="34" charset="0"/>
                </a:rPr>
                <a:t> ORDER</a:t>
              </a:r>
              <a:endParaRPr lang="en-IN" sz="1200" b="1">
                <a:solidFill>
                  <a:schemeClr val="accent6"/>
                </a:solidFill>
                <a:latin typeface="Aptos Display" panose="020B0004020202020204" pitchFamily="34" charset="0"/>
              </a:endParaRPr>
            </a:p>
          </xdr:txBody>
        </xdr:sp>
        <xdr:sp macro="" textlink="">
          <xdr:nvSpPr>
            <xdr:cNvPr id="10" name="TextBox 9">
              <a:extLst>
                <a:ext uri="{FF2B5EF4-FFF2-40B4-BE49-F238E27FC236}">
                  <a16:creationId xmlns:a16="http://schemas.microsoft.com/office/drawing/2014/main" id="{6EA37107-D54A-5885-D485-14732B82FC21}"/>
                </a:ext>
              </a:extLst>
            </xdr:cNvPr>
            <xdr:cNvSpPr txBox="1"/>
          </xdr:nvSpPr>
          <xdr:spPr>
            <a:xfrm>
              <a:off x="8934949" y="658119"/>
              <a:ext cx="2190893" cy="2363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accent6"/>
                  </a:solidFill>
                  <a:latin typeface="Aptos Display" panose="020B0004020202020204" pitchFamily="34" charset="0"/>
                </a:rPr>
                <a:t>PEAK ASSIGNMENT TIME</a:t>
              </a:r>
            </a:p>
          </xdr:txBody>
        </xdr:sp>
        <xdr:sp macro="" textlink="">
          <xdr:nvSpPr>
            <xdr:cNvPr id="11" name="TextBox 10">
              <a:extLst>
                <a:ext uri="{FF2B5EF4-FFF2-40B4-BE49-F238E27FC236}">
                  <a16:creationId xmlns:a16="http://schemas.microsoft.com/office/drawing/2014/main" id="{7BAF9E31-2360-480C-823F-A5CBDF386BF6}"/>
                </a:ext>
              </a:extLst>
            </xdr:cNvPr>
            <xdr:cNvSpPr txBox="1"/>
          </xdr:nvSpPr>
          <xdr:spPr>
            <a:xfrm>
              <a:off x="3235502" y="692080"/>
              <a:ext cx="2079732" cy="230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accent6"/>
                  </a:solidFill>
                  <a:latin typeface="Aptos Display" panose="020B0004020202020204" pitchFamily="34" charset="0"/>
                </a:rPr>
                <a:t>AVERAGE DELIVERY TIME</a:t>
              </a:r>
            </a:p>
          </xdr:txBody>
        </xdr:sp>
        <xdr:sp macro="" textlink="">
          <xdr:nvSpPr>
            <xdr:cNvPr id="12" name="TextBox 11">
              <a:extLst>
                <a:ext uri="{FF2B5EF4-FFF2-40B4-BE49-F238E27FC236}">
                  <a16:creationId xmlns:a16="http://schemas.microsoft.com/office/drawing/2014/main" id="{CB1B4110-8826-42FF-ABCE-C62B3CF9FC26}"/>
                </a:ext>
              </a:extLst>
            </xdr:cNvPr>
            <xdr:cNvSpPr txBox="1"/>
          </xdr:nvSpPr>
          <xdr:spPr>
            <a:xfrm>
              <a:off x="6096356" y="677809"/>
              <a:ext cx="2028932" cy="2293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accent6"/>
                  </a:solidFill>
                  <a:latin typeface="Aptos Display" panose="020B0004020202020204" pitchFamily="34" charset="0"/>
                </a:rPr>
                <a:t>PEAK</a:t>
              </a:r>
              <a:r>
                <a:rPr lang="en-IN" sz="1200" b="1" baseline="0">
                  <a:solidFill>
                    <a:schemeClr val="accent6"/>
                  </a:solidFill>
                  <a:latin typeface="Aptos Display" panose="020B0004020202020204" pitchFamily="34" charset="0"/>
                </a:rPr>
                <a:t> DELIVERY TIME</a:t>
              </a:r>
              <a:endParaRPr lang="en-IN" sz="1200" b="1">
                <a:solidFill>
                  <a:schemeClr val="accent6"/>
                </a:solidFill>
                <a:latin typeface="Aptos Display" panose="020B0004020202020204" pitchFamily="34" charset="0"/>
              </a:endParaRPr>
            </a:p>
          </xdr:txBody>
        </xdr:sp>
        <xdr:sp macro="" textlink="">
          <xdr:nvSpPr>
            <xdr:cNvPr id="14" name="TextBox 13">
              <a:extLst>
                <a:ext uri="{FF2B5EF4-FFF2-40B4-BE49-F238E27FC236}">
                  <a16:creationId xmlns:a16="http://schemas.microsoft.com/office/drawing/2014/main" id="{7C6D82CD-875B-44C9-8A98-0B4BCB78960C}"/>
                </a:ext>
              </a:extLst>
            </xdr:cNvPr>
            <xdr:cNvSpPr txBox="1"/>
          </xdr:nvSpPr>
          <xdr:spPr>
            <a:xfrm>
              <a:off x="3753064" y="856323"/>
              <a:ext cx="1054100" cy="349250"/>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accent4">
                      <a:lumMod val="75000"/>
                    </a:schemeClr>
                  </a:solidFill>
                  <a:latin typeface="Algerian" panose="04020705040A02060702" pitchFamily="82" charset="0"/>
                </a:rPr>
                <a:t>12.03 </a:t>
              </a:r>
            </a:p>
          </xdr:txBody>
        </xdr:sp>
        <xdr:sp macro="" textlink="">
          <xdr:nvSpPr>
            <xdr:cNvPr id="19" name="TextBox 18">
              <a:extLst>
                <a:ext uri="{FF2B5EF4-FFF2-40B4-BE49-F238E27FC236}">
                  <a16:creationId xmlns:a16="http://schemas.microsoft.com/office/drawing/2014/main" id="{CE47C341-4B9C-4712-8864-E0CEC2465E9F}"/>
                </a:ext>
              </a:extLst>
            </xdr:cNvPr>
            <xdr:cNvSpPr txBox="1"/>
          </xdr:nvSpPr>
          <xdr:spPr>
            <a:xfrm>
              <a:off x="6515457" y="881721"/>
              <a:ext cx="952500" cy="298450"/>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accent4">
                      <a:lumMod val="75000"/>
                    </a:schemeClr>
                  </a:solidFill>
                  <a:latin typeface="Algerian" panose="04020705040A02060702" pitchFamily="82" charset="0"/>
                </a:rPr>
                <a:t>13.57</a:t>
              </a:r>
            </a:p>
          </xdr:txBody>
        </xdr:sp>
        <xdr:sp macro="" textlink="">
          <xdr:nvSpPr>
            <xdr:cNvPr id="20" name="TextBox 19">
              <a:extLst>
                <a:ext uri="{FF2B5EF4-FFF2-40B4-BE49-F238E27FC236}">
                  <a16:creationId xmlns:a16="http://schemas.microsoft.com/office/drawing/2014/main" id="{E60BCE97-D6A7-44CA-8B20-3955551FF029}"/>
                </a:ext>
              </a:extLst>
            </xdr:cNvPr>
            <xdr:cNvSpPr txBox="1"/>
          </xdr:nvSpPr>
          <xdr:spPr>
            <a:xfrm>
              <a:off x="9566810" y="888072"/>
              <a:ext cx="952500" cy="285750"/>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accent4">
                      <a:lumMod val="75000"/>
                    </a:schemeClr>
                  </a:solidFill>
                  <a:latin typeface="Algerian" panose="04020705040A02060702" pitchFamily="82" charset="0"/>
                </a:rPr>
                <a:t>1.89</a:t>
              </a:r>
            </a:p>
          </xdr:txBody>
        </xdr:sp>
      </xdr:grpSp>
      <xdr:grpSp>
        <xdr:nvGrpSpPr>
          <xdr:cNvPr id="48" name="Group 47">
            <a:extLst>
              <a:ext uri="{FF2B5EF4-FFF2-40B4-BE49-F238E27FC236}">
                <a16:creationId xmlns:a16="http://schemas.microsoft.com/office/drawing/2014/main" id="{907CEBFD-C168-58FB-CFB0-5A877F2B5389}"/>
              </a:ext>
            </a:extLst>
          </xdr:cNvPr>
          <xdr:cNvGrpSpPr/>
        </xdr:nvGrpSpPr>
        <xdr:grpSpPr>
          <a:xfrm>
            <a:off x="299114" y="1533989"/>
            <a:ext cx="10089201" cy="4345113"/>
            <a:chOff x="322186" y="1359184"/>
            <a:chExt cx="11550173" cy="4341546"/>
          </a:xfrm>
          <a:gradFill>
            <a:gsLst>
              <a:gs pos="0">
                <a:srgbClr val="FFFF00"/>
              </a:gs>
              <a:gs pos="100000">
                <a:schemeClr val="bg2"/>
              </a:gs>
            </a:gsLst>
            <a:lin ang="2400000" scaled="0"/>
          </a:gradFill>
        </xdr:grpSpPr>
        <xdr:grpSp>
          <xdr:nvGrpSpPr>
            <xdr:cNvPr id="32" name="Group 31">
              <a:extLst>
                <a:ext uri="{FF2B5EF4-FFF2-40B4-BE49-F238E27FC236}">
                  <a16:creationId xmlns:a16="http://schemas.microsoft.com/office/drawing/2014/main" id="{1FBDD5D8-DBF3-A1A5-A618-F15378AB5D42}"/>
                </a:ext>
              </a:extLst>
            </xdr:cNvPr>
            <xdr:cNvGrpSpPr/>
          </xdr:nvGrpSpPr>
          <xdr:grpSpPr>
            <a:xfrm>
              <a:off x="322186" y="1359185"/>
              <a:ext cx="5615111" cy="4341545"/>
              <a:chOff x="322186" y="1359185"/>
              <a:chExt cx="5615111" cy="4341545"/>
            </a:xfrm>
            <a:grpFill/>
          </xdr:grpSpPr>
          <xdr:grpSp>
            <xdr:nvGrpSpPr>
              <xdr:cNvPr id="24" name="Group 23">
                <a:extLst>
                  <a:ext uri="{FF2B5EF4-FFF2-40B4-BE49-F238E27FC236}">
                    <a16:creationId xmlns:a16="http://schemas.microsoft.com/office/drawing/2014/main" id="{C0EB15B0-FF76-3AE5-FEBE-6492536B70B0}"/>
                  </a:ext>
                </a:extLst>
              </xdr:cNvPr>
              <xdr:cNvGrpSpPr/>
            </xdr:nvGrpSpPr>
            <xdr:grpSpPr>
              <a:xfrm>
                <a:off x="351842" y="1359185"/>
                <a:ext cx="5555798" cy="2211797"/>
                <a:chOff x="273359" y="1334213"/>
                <a:chExt cx="4679148" cy="2211797"/>
              </a:xfrm>
              <a:grpFill/>
            </xdr:grpSpPr>
            <xdr:sp macro="" textlink="">
              <xdr:nvSpPr>
                <xdr:cNvPr id="15" name="Rectangle: Rounded Corners 14">
                  <a:extLst>
                    <a:ext uri="{FF2B5EF4-FFF2-40B4-BE49-F238E27FC236}">
                      <a16:creationId xmlns:a16="http://schemas.microsoft.com/office/drawing/2014/main" id="{4B28CEE8-97A5-4950-9440-E326A853873C}"/>
                    </a:ext>
                  </a:extLst>
                </xdr:cNvPr>
                <xdr:cNvSpPr/>
              </xdr:nvSpPr>
              <xdr:spPr>
                <a:xfrm>
                  <a:off x="273359" y="1357019"/>
                  <a:ext cx="4679148" cy="2188991"/>
                </a:xfrm>
                <a:prstGeom prst="roundRect">
                  <a:avLst>
                    <a:gd name="adj" fmla="val 11775"/>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3" name="Chart 22">
                  <a:extLst>
                    <a:ext uri="{FF2B5EF4-FFF2-40B4-BE49-F238E27FC236}">
                      <a16:creationId xmlns:a16="http://schemas.microsoft.com/office/drawing/2014/main" id="{EB4E2B52-4D43-4B1C-83FB-093781FC7B68}"/>
                    </a:ext>
                  </a:extLst>
                </xdr:cNvPr>
                <xdr:cNvGraphicFramePr>
                  <a:graphicFrameLocks/>
                </xdr:cNvGraphicFramePr>
              </xdr:nvGraphicFramePr>
              <xdr:xfrm>
                <a:off x="413820" y="1334213"/>
                <a:ext cx="4409326" cy="212618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7" name="Group 26">
                <a:extLst>
                  <a:ext uri="{FF2B5EF4-FFF2-40B4-BE49-F238E27FC236}">
                    <a16:creationId xmlns:a16="http://schemas.microsoft.com/office/drawing/2014/main" id="{3C827918-0065-F37E-EB51-DDDBEF9286DC}"/>
                  </a:ext>
                </a:extLst>
              </xdr:cNvPr>
              <xdr:cNvGrpSpPr/>
            </xdr:nvGrpSpPr>
            <xdr:grpSpPr>
              <a:xfrm>
                <a:off x="322186" y="3667303"/>
                <a:ext cx="5615111" cy="2033427"/>
                <a:chOff x="335338" y="3667303"/>
                <a:chExt cx="5422472" cy="1903502"/>
              </a:xfrm>
              <a:grpFill/>
            </xdr:grpSpPr>
            <xdr:sp macro="" textlink="">
              <xdr:nvSpPr>
                <xdr:cNvPr id="18" name="Rectangle: Rounded Corners 17">
                  <a:extLst>
                    <a:ext uri="{FF2B5EF4-FFF2-40B4-BE49-F238E27FC236}">
                      <a16:creationId xmlns:a16="http://schemas.microsoft.com/office/drawing/2014/main" id="{FA0B4D71-2145-439B-9713-1AAE2CD9D8EB}"/>
                    </a:ext>
                  </a:extLst>
                </xdr:cNvPr>
                <xdr:cNvSpPr/>
              </xdr:nvSpPr>
              <xdr:spPr>
                <a:xfrm>
                  <a:off x="335338" y="3667303"/>
                  <a:ext cx="5422472" cy="1903502"/>
                </a:xfrm>
                <a:prstGeom prst="roundRect">
                  <a:avLst>
                    <a:gd name="adj" fmla="val 12601"/>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CE9902F0-BE57-4BC8-878B-C67957446EBA}"/>
                    </a:ext>
                  </a:extLst>
                </xdr:cNvPr>
                <xdr:cNvGraphicFramePr>
                  <a:graphicFrameLocks/>
                </xdr:cNvGraphicFramePr>
              </xdr:nvGraphicFramePr>
              <xdr:xfrm>
                <a:off x="356742" y="3724382"/>
                <a:ext cx="5229831" cy="1805112"/>
              </xdr:xfrm>
              <a:graphic>
                <a:graphicData uri="http://schemas.openxmlformats.org/drawingml/2006/chart">
                  <c:chart xmlns:c="http://schemas.openxmlformats.org/drawingml/2006/chart" xmlns:r="http://schemas.openxmlformats.org/officeDocument/2006/relationships" r:id="rId2"/>
                </a:graphicData>
              </a:graphic>
            </xdr:graphicFrame>
          </xdr:grpSp>
        </xdr:grpSp>
        <xdr:grpSp>
          <xdr:nvGrpSpPr>
            <xdr:cNvPr id="33" name="Group 32">
              <a:extLst>
                <a:ext uri="{FF2B5EF4-FFF2-40B4-BE49-F238E27FC236}">
                  <a16:creationId xmlns:a16="http://schemas.microsoft.com/office/drawing/2014/main" id="{4836515E-8B96-C35E-7D9D-53E299C04121}"/>
                </a:ext>
              </a:extLst>
            </xdr:cNvPr>
            <xdr:cNvGrpSpPr/>
          </xdr:nvGrpSpPr>
          <xdr:grpSpPr>
            <a:xfrm>
              <a:off x="6373473" y="1359184"/>
              <a:ext cx="5498886" cy="4323709"/>
              <a:chOff x="6373473" y="1359184"/>
              <a:chExt cx="5498886" cy="4323709"/>
            </a:xfrm>
            <a:grpFill/>
          </xdr:grpSpPr>
          <xdr:grpSp>
            <xdr:nvGrpSpPr>
              <xdr:cNvPr id="29" name="Group 28">
                <a:extLst>
                  <a:ext uri="{FF2B5EF4-FFF2-40B4-BE49-F238E27FC236}">
                    <a16:creationId xmlns:a16="http://schemas.microsoft.com/office/drawing/2014/main" id="{CAB24F50-B052-8D70-569E-DAC464F50BDC}"/>
                  </a:ext>
                </a:extLst>
              </xdr:cNvPr>
              <xdr:cNvGrpSpPr/>
            </xdr:nvGrpSpPr>
            <xdr:grpSpPr>
              <a:xfrm>
                <a:off x="6373473" y="1359184"/>
                <a:ext cx="5498886" cy="2236771"/>
                <a:chOff x="6352069" y="1359184"/>
                <a:chExt cx="5498886" cy="2236771"/>
              </a:xfrm>
              <a:grpFill/>
            </xdr:grpSpPr>
            <xdr:sp macro="" textlink="">
              <xdr:nvSpPr>
                <xdr:cNvPr id="17" name="Rectangle: Rounded Corners 16">
                  <a:extLst>
                    <a:ext uri="{FF2B5EF4-FFF2-40B4-BE49-F238E27FC236}">
                      <a16:creationId xmlns:a16="http://schemas.microsoft.com/office/drawing/2014/main" id="{9946A130-06CD-4C2E-AD93-991966CF4B84}"/>
                    </a:ext>
                  </a:extLst>
                </xdr:cNvPr>
                <xdr:cNvSpPr/>
              </xdr:nvSpPr>
              <xdr:spPr>
                <a:xfrm>
                  <a:off x="6352069" y="1359184"/>
                  <a:ext cx="5498886" cy="2211798"/>
                </a:xfrm>
                <a:prstGeom prst="roundRect">
                  <a:avLst>
                    <a:gd name="adj" fmla="val 10931"/>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8" name="Chart 27">
                  <a:extLst>
                    <a:ext uri="{FF2B5EF4-FFF2-40B4-BE49-F238E27FC236}">
                      <a16:creationId xmlns:a16="http://schemas.microsoft.com/office/drawing/2014/main" id="{29DC805A-3374-45DF-B243-E2DF7806A861}"/>
                    </a:ext>
                  </a:extLst>
                </xdr:cNvPr>
                <xdr:cNvGraphicFramePr>
                  <a:graphicFrameLocks/>
                </xdr:cNvGraphicFramePr>
              </xdr:nvGraphicFramePr>
              <xdr:xfrm>
                <a:off x="6578313" y="1391292"/>
                <a:ext cx="5101405" cy="2204663"/>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31" name="Group 30">
                <a:extLst>
                  <a:ext uri="{FF2B5EF4-FFF2-40B4-BE49-F238E27FC236}">
                    <a16:creationId xmlns:a16="http://schemas.microsoft.com/office/drawing/2014/main" id="{6185C11C-6C8A-12D3-9DC2-5ADF476165A0}"/>
                  </a:ext>
                </a:extLst>
              </xdr:cNvPr>
              <xdr:cNvGrpSpPr/>
            </xdr:nvGrpSpPr>
            <xdr:grpSpPr>
              <a:xfrm>
                <a:off x="6384497" y="3685140"/>
                <a:ext cx="5476839" cy="1997753"/>
                <a:chOff x="6416925" y="3674438"/>
                <a:chExt cx="5476839" cy="1997753"/>
              </a:xfrm>
              <a:grpFill/>
            </xdr:grpSpPr>
            <xdr:sp macro="" textlink="">
              <xdr:nvSpPr>
                <xdr:cNvPr id="16" name="Rectangle: Rounded Corners 15">
                  <a:extLst>
                    <a:ext uri="{FF2B5EF4-FFF2-40B4-BE49-F238E27FC236}">
                      <a16:creationId xmlns:a16="http://schemas.microsoft.com/office/drawing/2014/main" id="{03D16EF1-DDB6-4DF0-BDD7-0A81E81B8D22}"/>
                    </a:ext>
                  </a:extLst>
                </xdr:cNvPr>
                <xdr:cNvSpPr/>
              </xdr:nvSpPr>
              <xdr:spPr>
                <a:xfrm>
                  <a:off x="6416925" y="3674438"/>
                  <a:ext cx="5476839" cy="1997753"/>
                </a:xfrm>
                <a:prstGeom prst="roundRect">
                  <a:avLst>
                    <a:gd name="adj" fmla="val 13463"/>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8DDC0415-8E22-4CCD-8B40-41F1964EDDB0}"/>
                    </a:ext>
                  </a:extLst>
                </xdr:cNvPr>
                <xdr:cNvGraphicFramePr>
                  <a:graphicFrameLocks/>
                </xdr:cNvGraphicFramePr>
              </xdr:nvGraphicFramePr>
              <xdr:xfrm>
                <a:off x="6621124" y="3702976"/>
                <a:ext cx="5022921" cy="1926405"/>
              </xdr:xfrm>
              <a:graphic>
                <a:graphicData uri="http://schemas.openxmlformats.org/drawingml/2006/chart">
                  <c:chart xmlns:c="http://schemas.openxmlformats.org/drawingml/2006/chart" xmlns:r="http://schemas.openxmlformats.org/officeDocument/2006/relationships" r:id="rId4"/>
                </a:graphicData>
              </a:graphic>
            </xdr:graphicFrame>
          </xdr:grpSp>
        </xdr:grpSp>
      </xdr:grpSp>
      <xdr:sp macro="" textlink="">
        <xdr:nvSpPr>
          <xdr:cNvPr id="51" name="TextBox 50">
            <a:extLst>
              <a:ext uri="{FF2B5EF4-FFF2-40B4-BE49-F238E27FC236}">
                <a16:creationId xmlns:a16="http://schemas.microsoft.com/office/drawing/2014/main" id="{07990AFC-3910-ACF9-F32D-B24710E01E4F}"/>
              </a:ext>
            </a:extLst>
          </xdr:cNvPr>
          <xdr:cNvSpPr txBox="1"/>
        </xdr:nvSpPr>
        <xdr:spPr>
          <a:xfrm>
            <a:off x="242584" y="185506"/>
            <a:ext cx="12842697" cy="492303"/>
          </a:xfrm>
          <a:prstGeom prst="rect">
            <a:avLst/>
          </a:prstGeom>
          <a:gradFill>
            <a:gsLst>
              <a:gs pos="0">
                <a:srgbClr val="92D050"/>
              </a:gs>
              <a:gs pos="60000">
                <a:srgbClr val="FFFF00"/>
              </a:gs>
              <a:gs pos="100000">
                <a:schemeClr val="accent4">
                  <a:lumMod val="60000"/>
                  <a:lumOff val="40000"/>
                </a:schemeClr>
              </a:gs>
            </a:gsLst>
            <a:lin ang="24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6">
                    <a:lumMod val="50000"/>
                  </a:schemeClr>
                </a:solidFill>
                <a:latin typeface="Algerian" panose="04020705040A02060702" pitchFamily="82" charset="0"/>
              </a:rPr>
              <a:t>BLINKIT DELIVERY</a:t>
            </a:r>
            <a:r>
              <a:rPr lang="en-IN" sz="2800" b="1" baseline="0">
                <a:solidFill>
                  <a:schemeClr val="accent6">
                    <a:lumMod val="50000"/>
                  </a:schemeClr>
                </a:solidFill>
                <a:latin typeface="Algerian" panose="04020705040A02060702" pitchFamily="82" charset="0"/>
              </a:rPr>
              <a:t> PERFORMANCE DASHBOARD</a:t>
            </a:r>
            <a:endParaRPr lang="en-IN" sz="2800" b="1">
              <a:solidFill>
                <a:schemeClr val="accent6">
                  <a:lumMod val="50000"/>
                </a:schemeClr>
              </a:solidFill>
              <a:latin typeface="Algerian" panose="04020705040A02060702" pitchFamily="82" charset="0"/>
            </a:endParaRPr>
          </a:p>
        </xdr:txBody>
      </xdr:sp>
    </xdr:grpSp>
    <xdr:clientData/>
  </xdr:twoCellAnchor>
  <xdr:twoCellAnchor>
    <xdr:from>
      <xdr:col>17</xdr:col>
      <xdr:colOff>116869</xdr:colOff>
      <xdr:row>7</xdr:row>
      <xdr:rowOff>107666</xdr:rowOff>
    </xdr:from>
    <xdr:to>
      <xdr:col>21</xdr:col>
      <xdr:colOff>271124</xdr:colOff>
      <xdr:row>19</xdr:row>
      <xdr:rowOff>57078</xdr:rowOff>
    </xdr:to>
    <xdr:grpSp>
      <xdr:nvGrpSpPr>
        <xdr:cNvPr id="37" name="Group 36">
          <a:extLst>
            <a:ext uri="{FF2B5EF4-FFF2-40B4-BE49-F238E27FC236}">
              <a16:creationId xmlns:a16="http://schemas.microsoft.com/office/drawing/2014/main" id="{AAF532B6-330E-2BC4-3B24-4C04DE833785}"/>
            </a:ext>
          </a:extLst>
        </xdr:cNvPr>
        <xdr:cNvGrpSpPr/>
      </xdr:nvGrpSpPr>
      <xdr:grpSpPr>
        <a:xfrm>
          <a:off x="10426700" y="1406205"/>
          <a:ext cx="2580098" cy="2175480"/>
          <a:chOff x="10426700" y="1406205"/>
          <a:chExt cx="2580098" cy="2175480"/>
        </a:xfrm>
      </xdr:grpSpPr>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FCCB1CA3-0B99-7581-6CD2-8C16E7D0E873}"/>
                  </a:ext>
                </a:extLst>
              </xdr:cNvPr>
              <xdr:cNvGraphicFramePr/>
            </xdr:nvGraphicFramePr>
            <xdr:xfrm>
              <a:off x="10426700" y="2406864"/>
              <a:ext cx="1295828" cy="1174821"/>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426700" y="2406864"/>
                <a:ext cx="1295828" cy="1174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store_id">
                <a:extLst>
                  <a:ext uri="{FF2B5EF4-FFF2-40B4-BE49-F238E27FC236}">
                    <a16:creationId xmlns:a16="http://schemas.microsoft.com/office/drawing/2014/main" id="{2B6F5BFA-0C32-E81F-BCEB-C07502777F12}"/>
                  </a:ext>
                </a:extLst>
              </xdr:cNvPr>
              <xdr:cNvGraphicFramePr/>
            </xdr:nvGraphicFramePr>
            <xdr:xfrm>
              <a:off x="11743933" y="1406205"/>
              <a:ext cx="1262865" cy="2154076"/>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1743933" y="1406205"/>
                <a:ext cx="1262865" cy="215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peakhour">
                <a:extLst>
                  <a:ext uri="{FF2B5EF4-FFF2-40B4-BE49-F238E27FC236}">
                    <a16:creationId xmlns:a16="http://schemas.microsoft.com/office/drawing/2014/main" id="{7C7C98D1-5AAE-5FBC-B21E-2D59613082FF}"/>
                  </a:ext>
                </a:extLst>
              </xdr:cNvPr>
              <xdr:cNvGraphicFramePr/>
            </xdr:nvGraphicFramePr>
            <xdr:xfrm>
              <a:off x="10438258" y="1425825"/>
              <a:ext cx="1277135" cy="957209"/>
            </xdr:xfrm>
            <a:graphic>
              <a:graphicData uri="http://schemas.microsoft.com/office/drawing/2010/slicer">
                <sle:slicer xmlns:sle="http://schemas.microsoft.com/office/drawing/2010/slicer" name="peakhour"/>
              </a:graphicData>
            </a:graphic>
          </xdr:graphicFrame>
        </mc:Choice>
        <mc:Fallback xmlns="">
          <xdr:sp macro="" textlink="">
            <xdr:nvSpPr>
              <xdr:cNvPr id="0" name=""/>
              <xdr:cNvSpPr>
                <a:spLocks noTextEdit="1"/>
              </xdr:cNvSpPr>
            </xdr:nvSpPr>
            <xdr:spPr>
              <a:xfrm>
                <a:off x="10438258" y="1425825"/>
                <a:ext cx="1277135" cy="957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149832</xdr:colOff>
      <xdr:row>19</xdr:row>
      <xdr:rowOff>149831</xdr:rowOff>
    </xdr:from>
    <xdr:to>
      <xdr:col>21</xdr:col>
      <xdr:colOff>263989</xdr:colOff>
      <xdr:row>31</xdr:row>
      <xdr:rowOff>164101</xdr:rowOff>
    </xdr:to>
    <xdr:sp macro="" textlink="">
      <xdr:nvSpPr>
        <xdr:cNvPr id="39" name="Rectangle: Rounded Corners 38">
          <a:extLst>
            <a:ext uri="{FF2B5EF4-FFF2-40B4-BE49-F238E27FC236}">
              <a16:creationId xmlns:a16="http://schemas.microsoft.com/office/drawing/2014/main" id="{72A0CF22-7DBD-8364-E310-0CDCBCDBCD48}"/>
            </a:ext>
          </a:extLst>
        </xdr:cNvPr>
        <xdr:cNvSpPr/>
      </xdr:nvSpPr>
      <xdr:spPr>
        <a:xfrm>
          <a:off x="10459663" y="3674438"/>
          <a:ext cx="2540000" cy="2240337"/>
        </a:xfrm>
        <a:prstGeom prst="roundRect">
          <a:avLst>
            <a:gd name="adj" fmla="val 5202"/>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228316</xdr:colOff>
      <xdr:row>21</xdr:row>
      <xdr:rowOff>107024</xdr:rowOff>
    </xdr:from>
    <xdr:to>
      <xdr:col>21</xdr:col>
      <xdr:colOff>199776</xdr:colOff>
      <xdr:row>31</xdr:row>
      <xdr:rowOff>92754</xdr:rowOff>
    </xdr:to>
    <xdr:sp macro="" textlink="">
      <xdr:nvSpPr>
        <xdr:cNvPr id="40" name="TextBox 39">
          <a:extLst>
            <a:ext uri="{FF2B5EF4-FFF2-40B4-BE49-F238E27FC236}">
              <a16:creationId xmlns:a16="http://schemas.microsoft.com/office/drawing/2014/main" id="{BD94D4CF-E13F-68C2-42A1-3DD6EBC744B6}"/>
            </a:ext>
          </a:extLst>
        </xdr:cNvPr>
        <xdr:cNvSpPr txBox="1"/>
      </xdr:nvSpPr>
      <xdr:spPr>
        <a:xfrm>
          <a:off x="10538147" y="4002642"/>
          <a:ext cx="2397303" cy="184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ptos Display" panose="020B0004020202020204" pitchFamily="34" charset="0"/>
            </a:rPr>
            <a:t>1.  Peak-hour delivery time is 13.57 min vs 11.67 min during non-peak hours.</a:t>
          </a:r>
          <a:br>
            <a:rPr lang="en-IN" sz="1100" b="1">
              <a:latin typeface="Aptos Display" panose="020B0004020202020204" pitchFamily="34" charset="0"/>
            </a:rPr>
          </a:br>
          <a:r>
            <a:rPr lang="en-IN" sz="1100" b="1">
              <a:latin typeface="Aptos Display" panose="020B0004020202020204" pitchFamily="34" charset="0"/>
            </a:rPr>
            <a:t>2.</a:t>
          </a:r>
          <a:r>
            <a:rPr lang="en-IN" sz="1100" b="1" baseline="0">
              <a:latin typeface="Aptos Display" panose="020B0004020202020204" pitchFamily="34" charset="0"/>
            </a:rPr>
            <a:t>  </a:t>
          </a:r>
          <a:r>
            <a:rPr lang="en-IN" sz="1100" b="1">
              <a:latin typeface="Aptos Display" panose="020B0004020202020204" pitchFamily="34" charset="0"/>
            </a:rPr>
            <a:t>Rider assignment time increases to 1.89 min during peak hours.</a:t>
          </a:r>
          <a:br>
            <a:rPr lang="en-IN" sz="1100" b="1">
              <a:latin typeface="Aptos Display" panose="020B0004020202020204" pitchFamily="34" charset="0"/>
            </a:rPr>
          </a:br>
          <a:r>
            <a:rPr lang="en-IN" sz="1100" b="1">
              <a:latin typeface="Aptos Display" panose="020B0004020202020204" pitchFamily="34" charset="0"/>
            </a:rPr>
            <a:t>3.</a:t>
          </a:r>
          <a:r>
            <a:rPr lang="en-IN" sz="1100" b="1" baseline="0">
              <a:latin typeface="Aptos Display" panose="020B0004020202020204" pitchFamily="34" charset="0"/>
            </a:rPr>
            <a:t>  </a:t>
          </a:r>
          <a:r>
            <a:rPr lang="en-IN" sz="1100" b="1">
              <a:latin typeface="Aptos Display" panose="020B0004020202020204" pitchFamily="34" charset="0"/>
            </a:rPr>
            <a:t>Peak-hour delays are concentrated between 19:00–22:00.</a:t>
          </a:r>
          <a:br>
            <a:rPr lang="en-IN" sz="1100" b="1">
              <a:latin typeface="Aptos Display" panose="020B0004020202020204" pitchFamily="34" charset="0"/>
            </a:rPr>
          </a:br>
          <a:r>
            <a:rPr lang="en-IN" sz="1100" b="1">
              <a:latin typeface="Aptos Display" panose="020B0004020202020204" pitchFamily="34" charset="0"/>
            </a:rPr>
            <a:t>4.</a:t>
          </a:r>
          <a:r>
            <a:rPr lang="en-IN" sz="1100" b="1" baseline="0">
              <a:latin typeface="Aptos Display" panose="020B0004020202020204" pitchFamily="34" charset="0"/>
            </a:rPr>
            <a:t>  </a:t>
          </a:r>
          <a:r>
            <a:rPr lang="en-IN" sz="1100" b="1">
              <a:latin typeface="Aptos Display" panose="020B0004020202020204" pitchFamily="34" charset="0"/>
            </a:rPr>
            <a:t>Orders per active rider has a weak correlation (0.15) with assignment time.</a:t>
          </a:r>
        </a:p>
      </xdr:txBody>
    </xdr:sp>
    <xdr:clientData/>
  </xdr:twoCellAnchor>
  <xdr:twoCellAnchor>
    <xdr:from>
      <xdr:col>17</xdr:col>
      <xdr:colOff>249720</xdr:colOff>
      <xdr:row>20</xdr:row>
      <xdr:rowOff>14270</xdr:rowOff>
    </xdr:from>
    <xdr:to>
      <xdr:col>20</xdr:col>
      <xdr:colOff>478034</xdr:colOff>
      <xdr:row>21</xdr:row>
      <xdr:rowOff>85618</xdr:rowOff>
    </xdr:to>
    <xdr:sp macro="" textlink="">
      <xdr:nvSpPr>
        <xdr:cNvPr id="41" name="TextBox 40">
          <a:extLst>
            <a:ext uri="{FF2B5EF4-FFF2-40B4-BE49-F238E27FC236}">
              <a16:creationId xmlns:a16="http://schemas.microsoft.com/office/drawing/2014/main" id="{54DA250D-0D19-82B8-DFCC-8332ADA5A4BC}"/>
            </a:ext>
          </a:extLst>
        </xdr:cNvPr>
        <xdr:cNvSpPr txBox="1"/>
      </xdr:nvSpPr>
      <xdr:spPr>
        <a:xfrm>
          <a:off x="10559551" y="3724382"/>
          <a:ext cx="2047696" cy="256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latin typeface="Aptos Display" panose="020B0004020202020204" pitchFamily="34" charset="0"/>
            </a:rPr>
            <a:t>KEY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Dahilkar" refreshedDate="46258.844221990737" createdVersion="8" refreshedVersion="8" minRefreshableVersion="3" recordCount="229" xr:uid="{E7BA9C16-2638-4219-B439-9488C90EADE3}">
  <cacheSource type="worksheet">
    <worksheetSource name="Delivered_data"/>
  </cacheSource>
  <cacheFields count="24">
    <cacheField name="order_id" numFmtId="0">
      <sharedItems/>
    </cacheField>
    <cacheField name="order_date" numFmtId="14">
      <sharedItems containsSemiMixedTypes="0" containsNonDate="0" containsDate="1" containsString="0" minDate="2026-07-13T00:00:00" maxDate="2026-08-10T00:00:00"/>
    </cacheField>
    <cacheField name="week_start_date" numFmtId="14">
      <sharedItems containsSemiMixedTypes="0" containsNonDate="0" containsDate="1" containsString="0" minDate="2026-07-13T00:00:00" maxDate="2026-08-04T00:00:00" count="4">
        <d v="2026-07-13T00:00:00"/>
        <d v="2026-07-27T00:00:00"/>
        <d v="2026-07-20T00:00:00"/>
        <d v="2026-08-03T00:00:00"/>
      </sharedItems>
      <fieldGroup par="21"/>
    </cacheField>
    <cacheField name="city" numFmtId="0">
      <sharedItems count="3">
        <s v="Mumbai"/>
        <s v="Pune"/>
        <s v="Nagpur"/>
      </sharedItems>
    </cacheField>
    <cacheField name="store_id" numFmtId="0">
      <sharedItems count="8">
        <s v="MUM03"/>
        <s v="PUN02"/>
        <s v="MUM02"/>
        <s v="PUN03"/>
        <s v="MUM01"/>
        <s v="NAG02"/>
        <s v="PUN01"/>
        <s v="NAG01"/>
      </sharedItems>
    </cacheField>
    <cacheField name="peak_order/rider" numFmtId="2">
      <sharedItems containsSemiMixedTypes="0" containsString="0" containsNumber="1" minValue="0.33333333333333331" maxValue="1.5" count="7">
        <n v="0.375"/>
        <n v="0.8571428571428571"/>
        <n v="0.7142857142857143"/>
        <n v="0.5"/>
        <n v="0.625"/>
        <n v="1.5"/>
        <n v="0.33333333333333331"/>
      </sharedItems>
    </cacheField>
    <cacheField name="order_time" numFmtId="20">
      <sharedItems containsSemiMixedTypes="0" containsNonDate="0" containsDate="1" containsString="0" minDate="1899-12-30T00:01:00" maxDate="1899-12-30T23:59:00" count="207">
        <d v="1899-12-30T07:21:00"/>
        <d v="1899-12-30T09:23:00"/>
        <d v="1899-12-30T21:31:00"/>
        <d v="1899-12-30T23:29:00"/>
        <d v="1899-12-30T23:30:00"/>
        <d v="1899-12-30T18:56:00"/>
        <d v="1899-12-30T15:51:00"/>
        <d v="1899-12-30T18:24:00"/>
        <d v="1899-12-30T11:38:00"/>
        <d v="1899-12-30T01:52:00"/>
        <d v="1899-12-30T00:01:00"/>
        <d v="1899-12-30T10:41:00"/>
        <d v="1899-12-30T03:39:00"/>
        <d v="1899-12-30T14:14:00"/>
        <d v="1899-12-30T20:48:00"/>
        <d v="1899-12-30T06:24:00"/>
        <d v="1899-12-30T23:46:00"/>
        <d v="1899-12-30T19:13:00"/>
        <d v="1899-12-30T17:56:00"/>
        <d v="1899-12-30T12:09:00"/>
        <d v="1899-12-30T23:59:00"/>
        <d v="1899-12-30T04:06:00"/>
        <d v="1899-12-30T13:55:00"/>
        <d v="1899-12-30T03:22:00"/>
        <d v="1899-12-30T20:07:00"/>
        <d v="1899-12-30T02:02:00"/>
        <d v="1899-12-30T06:40:00"/>
        <d v="1899-12-30T12:46:00"/>
        <d v="1899-12-30T04:53:00"/>
        <d v="1899-12-30T04:39:00"/>
        <d v="1899-12-30T14:43:00"/>
        <d v="1899-12-30T03:17:00"/>
        <d v="1899-12-30T16:21:00"/>
        <d v="1899-12-30T12:31:00"/>
        <d v="1899-12-30T02:23:00"/>
        <d v="1899-12-30T10:08:00"/>
        <d v="1899-12-30T20:24:00"/>
        <d v="1899-12-30T19:07:00"/>
        <d v="1899-12-30T03:06:00"/>
        <d v="1899-12-30T22:29:00"/>
        <d v="1899-12-30T07:43:00"/>
        <d v="1899-12-30T22:52:00"/>
        <d v="1899-12-30T10:59:00"/>
        <d v="1899-12-30T12:43:00"/>
        <d v="1899-12-30T15:54:00"/>
        <d v="1899-12-30T06:42:00"/>
        <d v="1899-12-30T22:49:00"/>
        <d v="1899-12-30T02:26:00"/>
        <d v="1899-12-30T19:31:00"/>
        <d v="1899-12-30T14:23:00"/>
        <d v="1899-12-30T08:08:00"/>
        <d v="1899-12-30T15:28:00"/>
        <d v="1899-12-30T09:10:00"/>
        <d v="1899-12-30T05:37:00"/>
        <d v="1899-12-30T14:31:00"/>
        <d v="1899-12-30T07:52:00"/>
        <d v="1899-12-30T22:01:00"/>
        <d v="1899-12-30T04:22:00"/>
        <d v="1899-12-30T05:45:00"/>
        <d v="1899-12-30T10:23:00"/>
        <d v="1899-12-30T16:56:00"/>
        <d v="1899-12-30T14:40:00"/>
        <d v="1899-12-30T14:56:00"/>
        <d v="1899-12-30T22:07:00"/>
        <d v="1899-12-30T04:13:00"/>
        <d v="1899-12-30T07:32:00"/>
        <d v="1899-12-30T17:40:00"/>
        <d v="1899-12-30T19:43:00"/>
        <d v="1899-12-30T16:54:00"/>
        <d v="1899-12-30T00:08:00"/>
        <d v="1899-12-30T20:56:00"/>
        <d v="1899-12-30T18:42:00"/>
        <d v="1899-12-30T13:35:00"/>
        <d v="1899-12-30T03:27:00"/>
        <d v="1899-12-30T19:14:00"/>
        <d v="1899-12-30T06:43:00"/>
        <d v="1899-12-30T00:53:00"/>
        <d v="1899-12-30T19:03:00"/>
        <d v="1899-12-30T10:27:00"/>
        <d v="1899-12-30T09:46:00"/>
        <d v="1899-12-30T01:43:00"/>
        <d v="1899-12-30T20:50:00"/>
        <d v="1899-12-30T08:29:00"/>
        <d v="1899-12-30T01:38:00"/>
        <d v="1899-12-30T02:32:00"/>
        <d v="1899-12-30T15:13:00"/>
        <d v="1899-12-30T14:37:00"/>
        <d v="1899-12-30T13:41:00"/>
        <d v="1899-12-30T19:46:00"/>
        <d v="1899-12-30T15:56:00"/>
        <d v="1899-12-30T02:40:00"/>
        <d v="1899-12-30T13:20:00"/>
        <d v="1899-12-30T06:37:00"/>
        <d v="1899-12-30T21:40:00"/>
        <d v="1899-12-30T23:35:00"/>
        <d v="1899-12-30T19:18:00"/>
        <d v="1899-12-30T20:18:00"/>
        <d v="1899-12-30T10:39:00"/>
        <d v="1899-12-30T17:36:00"/>
        <d v="1899-12-30T11:27:00"/>
        <d v="1899-12-30T07:39:00"/>
        <d v="1899-12-30T07:49:00"/>
        <d v="1899-12-30T23:18:00"/>
        <d v="1899-12-30T17:25:00"/>
        <d v="1899-12-30T12:29:00"/>
        <d v="1899-12-30T00:37:00"/>
        <d v="1899-12-30T03:49:00"/>
        <d v="1899-12-30T23:08:00"/>
        <d v="1899-12-30T09:22:00"/>
        <d v="1899-12-30T07:17:00"/>
        <d v="1899-12-30T21:46:00"/>
        <d v="1899-12-30T00:26:00"/>
        <d v="1899-12-30T03:45:00"/>
        <d v="1899-12-30T13:17:00"/>
        <d v="1899-12-30T04:43:00"/>
        <d v="1899-12-30T15:59:00"/>
        <d v="1899-12-30T16:59:00"/>
        <d v="1899-12-30T10:58:00"/>
        <d v="1899-12-30T09:06:00"/>
        <d v="1899-12-30T20:15:00"/>
        <d v="1899-12-30T17:52:00"/>
        <d v="1899-12-30T00:16:00"/>
        <d v="1899-12-30T19:55:00"/>
        <d v="1899-12-30T20:43:00"/>
        <d v="1899-12-30T02:37:00"/>
        <d v="1899-12-30T07:56:00"/>
        <d v="1899-12-30T17:49:00"/>
        <d v="1899-12-30T23:16:00"/>
        <d v="1899-12-30T08:37:00"/>
        <d v="1899-12-30T05:01:00"/>
        <d v="1899-12-30T03:00:00"/>
        <d v="1899-12-30T10:06:00"/>
        <d v="1899-12-30T11:39:00"/>
        <d v="1899-12-30T16:32:00"/>
        <d v="1899-12-30T18:59:00"/>
        <d v="1899-12-30T03:10:00"/>
        <d v="1899-12-30T04:12:00"/>
        <d v="1899-12-30T16:20:00"/>
        <d v="1899-12-30T15:27:00"/>
        <d v="1899-12-30T19:44:00"/>
        <d v="1899-12-30T21:19:00"/>
        <d v="1899-12-30T22:26:00"/>
        <d v="1899-12-30T02:07:00"/>
        <d v="1899-12-30T00:17:00"/>
        <d v="1899-12-30T09:25:00"/>
        <d v="1899-12-30T09:29:00"/>
        <d v="1899-12-30T11:25:00"/>
        <d v="1899-12-30T10:25:00"/>
        <d v="1899-12-30T21:51:00"/>
        <d v="1899-12-30T14:13:00"/>
        <d v="1899-12-30T16:01:00"/>
        <d v="1899-12-30T02:34:00"/>
        <d v="1899-12-30T08:09:00"/>
        <d v="1899-12-30T13:04:00"/>
        <d v="1899-12-30T18:47:00"/>
        <d v="1899-12-30T23:36:00"/>
        <d v="1899-12-30T19:59:00"/>
        <d v="1899-12-30T17:42:00"/>
        <d v="1899-12-30T12:38:00"/>
        <d v="1899-12-30T08:57:00"/>
        <d v="1899-12-30T15:20:00"/>
        <d v="1899-12-30T06:47:00"/>
        <d v="1899-12-30T08:44:00"/>
        <d v="1899-12-30T13:47:00"/>
        <d v="1899-12-30T15:02:00"/>
        <d v="1899-12-30T00:35:00"/>
        <d v="1899-12-30T11:24:00"/>
        <d v="1899-12-30T00:19:00"/>
        <d v="1899-12-30T08:31:00"/>
        <d v="1899-12-30T06:39:00"/>
        <d v="1899-12-30T10:53:00"/>
        <d v="1899-12-30T07:50:00"/>
        <d v="1899-12-30T19:26:00"/>
        <d v="1899-12-30T18:35:00"/>
        <d v="1899-12-30T22:57:00"/>
        <d v="1899-12-30T13:53:00"/>
        <d v="1899-12-30T12:06:00"/>
        <d v="1899-12-30T00:50:00"/>
        <d v="1899-12-30T09:34:00"/>
        <d v="1899-12-30T20:13:00"/>
        <d v="1899-12-30T19:08:00"/>
        <d v="1899-12-30T02:29:00"/>
        <d v="1899-12-30T05:13:00"/>
        <d v="1899-12-30T22:45:00"/>
        <d v="1899-12-30T05:04:00"/>
        <d v="1899-12-30T11:21:00"/>
        <d v="1899-12-30T13:57:00"/>
        <d v="1899-12-30T17:57:00"/>
        <d v="1899-12-30T16:42:00"/>
        <d v="1899-12-30T07:23:00"/>
        <d v="1899-12-30T10:12:00"/>
        <d v="1899-12-30T04:23:00"/>
        <d v="1899-12-30T16:43:00"/>
        <d v="1899-12-30T00:04:00"/>
        <d v="1899-12-30T20:19:00"/>
        <d v="1899-12-30T12:53:00"/>
        <d v="1899-12-30T14:36:00"/>
        <d v="1899-12-30T16:31:00"/>
        <d v="1899-12-30T22:53:00"/>
        <d v="1899-12-30T00:46:00"/>
        <d v="1899-12-30T14:26:00"/>
        <d v="1899-12-30T13:42:00"/>
        <d v="1899-12-30T15:35:00"/>
        <d v="1899-12-30T10:55:00"/>
        <d v="1899-12-30T04:28:00"/>
        <d v="1899-12-30T06:09:00"/>
        <d v="1899-12-30T10:35:00"/>
      </sharedItems>
      <fieldGroup par="23"/>
    </cacheField>
    <cacheField name="peakhour" numFmtId="20">
      <sharedItems count="2">
        <s v="Non-Peak"/>
        <s v="Peak"/>
      </sharedItems>
    </cacheField>
    <cacheField name="items_count" numFmtId="0">
      <sharedItems containsSemiMixedTypes="0" containsString="0" containsNumber="1" containsInteger="1" minValue="1" maxValue="11"/>
    </cacheField>
    <cacheField name="order_value" numFmtId="0">
      <sharedItems containsSemiMixedTypes="0" containsString="0" containsNumber="1" minValue="120" maxValue="1074.76"/>
    </cacheField>
    <cacheField name="picking_time_min" numFmtId="0">
      <sharedItems containsSemiMixedTypes="0" containsString="0" containsNumber="1" minValue="1.35" maxValue="4.59"/>
    </cacheField>
    <cacheField name="packing_time_min" numFmtId="0">
      <sharedItems containsSemiMixedTypes="0" containsString="0" containsNumber="1" minValue="0.44" maxValue="1.5"/>
    </cacheField>
    <cacheField name="rider_assignment_time_min" numFmtId="0">
      <sharedItems containsSemiMixedTypes="0" containsString="0" containsNumber="1" minValue="0.3" maxValue="2.85"/>
    </cacheField>
    <cacheField name="rider_waiting_time_min" numFmtId="0">
      <sharedItems containsSemiMixedTypes="0" containsString="0" containsNumber="1" minValue="0.2" maxValue="1.45"/>
    </cacheField>
    <cacheField name="delivery_time_min" numFmtId="0">
      <sharedItems containsSemiMixedTypes="0" containsString="0" containsNumber="1" minValue="3" maxValue="11.47" count="180">
        <n v="6.63"/>
        <n v="4.97"/>
        <n v="6.66"/>
        <n v="4.62"/>
        <n v="7.06"/>
        <n v="3.77"/>
        <n v="6.64"/>
        <n v="7.67"/>
        <n v="4.84"/>
        <n v="7.11"/>
        <n v="6.06"/>
        <n v="5.78"/>
        <n v="5.08"/>
        <n v="4.38"/>
        <n v="7.23"/>
        <n v="4.29"/>
        <n v="6.3"/>
        <n v="7.19"/>
        <n v="6.1"/>
        <n v="5.54"/>
        <n v="7.1"/>
        <n v="6.68"/>
        <n v="7.43"/>
        <n v="4.09"/>
        <n v="8.0299999999999994"/>
        <n v="7.5"/>
        <n v="5.16"/>
        <n v="5.52"/>
        <n v="5.56"/>
        <n v="6.45"/>
        <n v="8.92"/>
        <n v="7.28"/>
        <n v="4.1500000000000004"/>
        <n v="6.81"/>
        <n v="8.49"/>
        <n v="7.2"/>
        <n v="8.11"/>
        <n v="9.27"/>
        <n v="8.17"/>
        <n v="6.94"/>
        <n v="6.36"/>
        <n v="4.5"/>
        <n v="6.25"/>
        <n v="7.4"/>
        <n v="8.68"/>
        <n v="4.99"/>
        <n v="4.28"/>
        <n v="7.49"/>
        <n v="5.91"/>
        <n v="5.8"/>
        <n v="4.3499999999999996"/>
        <n v="7.59"/>
        <n v="9.5299999999999994"/>
        <n v="5.97"/>
        <n v="7.71"/>
        <n v="4.07"/>
        <n v="5.58"/>
        <n v="7.52"/>
        <n v="8.43"/>
        <n v="6.15"/>
        <n v="5.98"/>
        <n v="10.119999999999999"/>
        <n v="5.42"/>
        <n v="6.34"/>
        <n v="6.86"/>
        <n v="8.58"/>
        <n v="7.41"/>
        <n v="6.83"/>
        <n v="8.1999999999999993"/>
        <n v="6.57"/>
        <n v="3"/>
        <n v="5.9"/>
        <n v="6.38"/>
        <n v="4.55"/>
        <n v="6.03"/>
        <n v="7.16"/>
        <n v="10.130000000000001"/>
        <n v="5.5"/>
        <n v="5.48"/>
        <n v="6.53"/>
        <n v="4.37"/>
        <n v="4.71"/>
        <n v="7.63"/>
        <n v="5.94"/>
        <n v="4.5199999999999996"/>
        <n v="7.14"/>
        <n v="6.26"/>
        <n v="7.51"/>
        <n v="6.52"/>
        <n v="6.33"/>
        <n v="6.73"/>
        <n v="5.57"/>
        <n v="5.76"/>
        <n v="5.15"/>
        <n v="3.19"/>
        <n v="5.1100000000000003"/>
        <n v="6.28"/>
        <n v="4.92"/>
        <n v="4.21"/>
        <n v="5.77"/>
        <n v="7.08"/>
        <n v="7.99"/>
        <n v="4.96"/>
        <n v="5.29"/>
        <n v="5.14"/>
        <n v="5.4"/>
        <n v="5.28"/>
        <n v="5.19"/>
        <n v="5.79"/>
        <n v="5.18"/>
        <n v="4.45"/>
        <n v="6.41"/>
        <n v="7.45"/>
        <n v="10.68"/>
        <n v="6.27"/>
        <n v="4.76"/>
        <n v="7.62"/>
        <n v="6.01"/>
        <n v="5.92"/>
        <n v="8.3699999999999992"/>
        <n v="5.23"/>
        <n v="9.6199999999999992"/>
        <n v="6.77"/>
        <n v="6.47"/>
        <n v="5.99"/>
        <n v="3.21"/>
        <n v="6"/>
        <n v="4.5999999999999996"/>
        <n v="9.4"/>
        <n v="8.81"/>
        <n v="7.57"/>
        <n v="3.78"/>
        <n v="8.41"/>
        <n v="7.36"/>
        <n v="5.37"/>
        <n v="6.69"/>
        <n v="9.19"/>
        <n v="9.34"/>
        <n v="4.08"/>
        <n v="4.6100000000000003"/>
        <n v="6.32"/>
        <n v="4.75"/>
        <n v="5.26"/>
        <n v="5.62"/>
        <n v="4.18"/>
        <n v="5.43"/>
        <n v="7.69"/>
        <n v="6.65"/>
        <n v="7.34"/>
        <n v="5.68"/>
        <n v="6.11"/>
        <n v="7.68"/>
        <n v="4.9800000000000004"/>
        <n v="8"/>
        <n v="8.3800000000000008"/>
        <n v="5.87"/>
        <n v="4.24"/>
        <n v="7.54"/>
        <n v="5.33"/>
        <n v="6.59"/>
        <n v="3.15"/>
        <n v="7.01"/>
        <n v="4.7"/>
        <n v="7.09"/>
        <n v="6.76"/>
        <n v="3.05"/>
        <n v="5.53"/>
        <n v="6.55"/>
        <n v="3.24"/>
        <n v="5.82"/>
        <n v="4.33"/>
        <n v="3.3"/>
        <n v="6.23"/>
        <n v="7.96"/>
        <n v="6.85"/>
        <n v="11.47"/>
        <n v="3.84"/>
        <n v="7.95"/>
        <n v="6.37"/>
        <n v="6.51"/>
      </sharedItems>
    </cacheField>
    <cacheField name="total_delivery_time_min" numFmtId="0">
      <sharedItems containsSemiMixedTypes="0" containsString="0" containsNumber="1" minValue="7.14" maxValue="17.7"/>
    </cacheField>
    <cacheField name="distance_km" numFmtId="0">
      <sharedItems containsSemiMixedTypes="0" containsString="0" containsNumber="1" minValue="0.4" maxValue="5.5"/>
    </cacheField>
    <cacheField name="rider_id" numFmtId="0">
      <sharedItems count="74">
        <s v="R016"/>
        <s v="R019"/>
        <s v="R023"/>
        <s v="R025"/>
        <s v="R054"/>
        <s v="R073"/>
        <s v="R001"/>
        <s v="R042"/>
        <s v="R034"/>
        <s v="R080"/>
        <s v="R055"/>
        <s v="R018"/>
        <s v="R045"/>
        <s v="R006"/>
        <s v="R021"/>
        <s v="R070"/>
        <s v="R048"/>
        <s v="R039"/>
        <s v="R031"/>
        <s v="R010"/>
        <s v="R030"/>
        <s v="R060"/>
        <s v="R015"/>
        <s v="R004"/>
        <s v="R063"/>
        <s v="R040"/>
        <s v="R009"/>
        <s v="R026"/>
        <s v="R052"/>
        <s v="R069"/>
        <s v="R005"/>
        <s v="R020"/>
        <s v="R079"/>
        <s v="R002"/>
        <s v="R013"/>
        <s v="R074"/>
        <s v="R061"/>
        <s v="R008"/>
        <s v="R067"/>
        <s v="R011"/>
        <s v="R036"/>
        <s v="R037"/>
        <s v="R071"/>
        <s v="R056"/>
        <s v="R064"/>
        <s v="R029"/>
        <s v="R078"/>
        <s v="R051"/>
        <s v="R050"/>
        <s v="R058"/>
        <s v="R075"/>
        <s v="R059"/>
        <s v="R062"/>
        <s v="R068"/>
        <s v="R035"/>
        <s v="R014"/>
        <s v="R049"/>
        <s v="R007"/>
        <s v="R072"/>
        <s v="R017"/>
        <s v="R077"/>
        <s v="R027"/>
        <s v="R024"/>
        <s v="R046"/>
        <s v="R003"/>
        <s v="R038"/>
        <s v="R044"/>
        <s v="R041"/>
        <s v="R033"/>
        <s v="R047"/>
        <s v="R022"/>
        <s v="R043"/>
        <s v="R057"/>
        <s v="R066"/>
      </sharedItems>
    </cacheField>
    <cacheField name="order_status" numFmtId="0">
      <sharedItems/>
    </cacheField>
    <cacheField name="customer_rating" numFmtId="0">
      <sharedItems containsSemiMixedTypes="0" containsString="0" containsNumber="1" minValue="3.4" maxValue="5"/>
    </cacheField>
    <cacheField name="Days (week_start_date)" numFmtId="0" databaseField="0">
      <fieldGroup base="2">
        <rangePr groupBy="days" startDate="2026-07-13T00:00:00" endDate="2026-08-04T00:00:00"/>
        <groupItems count="368">
          <s v="&lt;13-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8-2026"/>
        </groupItems>
      </fieldGroup>
    </cacheField>
    <cacheField name="Months (week_start_date)" numFmtId="0" databaseField="0">
      <fieldGroup base="2">
        <rangePr groupBy="months" startDate="2026-07-13T00:00:00" endDate="2026-08-04T00:00:00"/>
        <groupItems count="14">
          <s v="&lt;13-07-2026"/>
          <s v="Jan"/>
          <s v="Feb"/>
          <s v="Mar"/>
          <s v="Apr"/>
          <s v="May"/>
          <s v="Jun"/>
          <s v="Jul"/>
          <s v="Aug"/>
          <s v="Sep"/>
          <s v="Oct"/>
          <s v="Nov"/>
          <s v="Dec"/>
          <s v="&gt;04-08-2026"/>
        </groupItems>
      </fieldGroup>
    </cacheField>
    <cacheField name="Minutes (order_time)" numFmtId="0" databaseField="0">
      <fieldGroup base="6">
        <rangePr groupBy="minutes" startDate="1899-12-30T00:01: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6">
        <rangePr groupBy="hours" startDate="1899-12-30T00:01:00" endDate="1899-12-30T23: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21186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s v="ORD100001"/>
    <d v="2026-07-19T00:00:00"/>
    <x v="0"/>
    <x v="0"/>
    <x v="0"/>
    <x v="0"/>
    <x v="0"/>
    <x v="0"/>
    <n v="4"/>
    <n v="462.38"/>
    <n v="2.9"/>
    <n v="0.9"/>
    <n v="0.69"/>
    <n v="0.51"/>
    <x v="0"/>
    <n v="11.63"/>
    <n v="2.74"/>
    <x v="0"/>
    <s v="Delivered"/>
    <n v="4.3"/>
  </r>
  <r>
    <s v="ORD100002"/>
    <d v="2026-08-01T00:00:00"/>
    <x v="1"/>
    <x v="1"/>
    <x v="1"/>
    <x v="1"/>
    <x v="1"/>
    <x v="0"/>
    <n v="4"/>
    <n v="346.91"/>
    <n v="3.07"/>
    <n v="0.83"/>
    <n v="1.47"/>
    <n v="0.78"/>
    <x v="1"/>
    <n v="11.12"/>
    <n v="1.35"/>
    <x v="1"/>
    <s v="Delivered"/>
    <n v="5"/>
  </r>
  <r>
    <s v="ORD100003"/>
    <d v="2026-07-27T00:00:00"/>
    <x v="1"/>
    <x v="1"/>
    <x v="1"/>
    <x v="1"/>
    <x v="2"/>
    <x v="1"/>
    <n v="4"/>
    <n v="395.51"/>
    <n v="2.82"/>
    <n v="0.94"/>
    <n v="1.1200000000000001"/>
    <n v="0.76"/>
    <x v="2"/>
    <n v="12.3"/>
    <n v="2.87"/>
    <x v="2"/>
    <s v="Delivered"/>
    <n v="5"/>
  </r>
  <r>
    <s v="ORD100004"/>
    <d v="2026-07-23T00:00:00"/>
    <x v="2"/>
    <x v="1"/>
    <x v="1"/>
    <x v="1"/>
    <x v="3"/>
    <x v="0"/>
    <n v="3"/>
    <n v="605.94000000000005"/>
    <n v="2.38"/>
    <n v="0.75"/>
    <n v="1.41"/>
    <n v="0.76"/>
    <x v="3"/>
    <n v="9.92"/>
    <n v="0.97"/>
    <x v="3"/>
    <s v="Delivered"/>
    <n v="4.3"/>
  </r>
  <r>
    <s v="ORD100005"/>
    <d v="2026-07-20T00:00:00"/>
    <x v="2"/>
    <x v="0"/>
    <x v="2"/>
    <x v="2"/>
    <x v="4"/>
    <x v="0"/>
    <n v="8"/>
    <n v="800.58"/>
    <n v="3.8"/>
    <n v="1.24"/>
    <n v="0.72"/>
    <n v="0.77"/>
    <x v="4"/>
    <n v="13.59"/>
    <n v="2.96"/>
    <x v="0"/>
    <s v="Delivered"/>
    <n v="5"/>
  </r>
  <r>
    <s v="ORD100006"/>
    <d v="2026-08-02T00:00:00"/>
    <x v="1"/>
    <x v="1"/>
    <x v="1"/>
    <x v="1"/>
    <x v="5"/>
    <x v="0"/>
    <n v="6"/>
    <n v="571.04"/>
    <n v="3.78"/>
    <n v="1.03"/>
    <n v="0.9"/>
    <n v="0.78"/>
    <x v="5"/>
    <n v="10.26"/>
    <n v="1.0900000000000001"/>
    <x v="4"/>
    <s v="Delivered"/>
    <n v="5"/>
  </r>
  <r>
    <s v="ORD100007"/>
    <d v="2026-07-19T00:00:00"/>
    <x v="0"/>
    <x v="1"/>
    <x v="3"/>
    <x v="3"/>
    <x v="6"/>
    <x v="0"/>
    <n v="4"/>
    <n v="284.74"/>
    <n v="2.63"/>
    <n v="1.01"/>
    <n v="0.95"/>
    <n v="0.75"/>
    <x v="6"/>
    <n v="11.98"/>
    <n v="2.7"/>
    <x v="5"/>
    <s v="Delivered"/>
    <n v="5"/>
  </r>
  <r>
    <s v="ORD100008"/>
    <d v="2026-08-07T00:00:00"/>
    <x v="3"/>
    <x v="1"/>
    <x v="3"/>
    <x v="3"/>
    <x v="7"/>
    <x v="0"/>
    <n v="6"/>
    <n v="580.03"/>
    <n v="2.78"/>
    <n v="1.02"/>
    <n v="1.67"/>
    <n v="0.85"/>
    <x v="7"/>
    <n v="13.99"/>
    <n v="2.76"/>
    <x v="6"/>
    <s v="Delivered"/>
    <n v="3.9"/>
  </r>
  <r>
    <s v="ORD100009"/>
    <d v="2026-07-31T00:00:00"/>
    <x v="1"/>
    <x v="1"/>
    <x v="1"/>
    <x v="1"/>
    <x v="8"/>
    <x v="0"/>
    <n v="4"/>
    <n v="715.39"/>
    <n v="3.07"/>
    <n v="0.66"/>
    <n v="0.43"/>
    <n v="0.89"/>
    <x v="8"/>
    <n v="9.89"/>
    <n v="1.57"/>
    <x v="7"/>
    <s v="Delivered"/>
    <n v="4.4000000000000004"/>
  </r>
  <r>
    <s v="ORD100010"/>
    <d v="2026-08-04T00:00:00"/>
    <x v="3"/>
    <x v="0"/>
    <x v="4"/>
    <x v="4"/>
    <x v="9"/>
    <x v="0"/>
    <n v="7"/>
    <n v="390.24"/>
    <n v="3.3"/>
    <n v="1.26"/>
    <n v="1.27"/>
    <n v="0.73"/>
    <x v="9"/>
    <n v="13.67"/>
    <n v="2.72"/>
    <x v="1"/>
    <s v="Delivered"/>
    <n v="4.5"/>
  </r>
  <r>
    <s v="ORD100011"/>
    <d v="2026-07-23T00:00:00"/>
    <x v="2"/>
    <x v="1"/>
    <x v="1"/>
    <x v="1"/>
    <x v="10"/>
    <x v="0"/>
    <n v="5"/>
    <n v="475.88"/>
    <n v="2.14"/>
    <n v="0.84"/>
    <n v="1.58"/>
    <n v="0.67"/>
    <x v="10"/>
    <n v="11.29"/>
    <n v="2.4300000000000002"/>
    <x v="8"/>
    <s v="Delivered"/>
    <n v="5"/>
  </r>
  <r>
    <s v="ORD100012"/>
    <d v="2026-07-23T00:00:00"/>
    <x v="2"/>
    <x v="2"/>
    <x v="5"/>
    <x v="5"/>
    <x v="11"/>
    <x v="0"/>
    <n v="6"/>
    <n v="502.64"/>
    <n v="3.42"/>
    <n v="0.95"/>
    <n v="0.39"/>
    <n v="0.64"/>
    <x v="11"/>
    <n v="11.18"/>
    <n v="1.72"/>
    <x v="9"/>
    <s v="Delivered"/>
    <n v="5"/>
  </r>
  <r>
    <s v="ORD100013"/>
    <d v="2026-08-05T00:00:00"/>
    <x v="3"/>
    <x v="1"/>
    <x v="6"/>
    <x v="6"/>
    <x v="12"/>
    <x v="0"/>
    <n v="6"/>
    <n v="358.72"/>
    <n v="2.93"/>
    <n v="0.96"/>
    <n v="1.18"/>
    <n v="0.95"/>
    <x v="12"/>
    <n v="11.1"/>
    <n v="1.29"/>
    <x v="10"/>
    <s v="Delivered"/>
    <n v="5"/>
  </r>
  <r>
    <s v="ORD100014"/>
    <d v="2026-08-02T00:00:00"/>
    <x v="1"/>
    <x v="1"/>
    <x v="1"/>
    <x v="1"/>
    <x v="13"/>
    <x v="0"/>
    <n v="5"/>
    <n v="616.69000000000005"/>
    <n v="2.87"/>
    <n v="1.1100000000000001"/>
    <n v="0.76"/>
    <n v="0.72"/>
    <x v="13"/>
    <n v="9.84"/>
    <n v="0.43"/>
    <x v="11"/>
    <s v="Delivered"/>
    <n v="4.9000000000000004"/>
  </r>
  <r>
    <s v="ORD100015"/>
    <d v="2026-07-16T00:00:00"/>
    <x v="0"/>
    <x v="1"/>
    <x v="1"/>
    <x v="1"/>
    <x v="14"/>
    <x v="1"/>
    <n v="3"/>
    <n v="478.23"/>
    <n v="2.58"/>
    <n v="0.53"/>
    <n v="1.8"/>
    <n v="0.78"/>
    <x v="14"/>
    <n v="12.92"/>
    <n v="2.76"/>
    <x v="8"/>
    <s v="Delivered"/>
    <n v="4.2"/>
  </r>
  <r>
    <s v="ORD100016"/>
    <d v="2026-07-20T00:00:00"/>
    <x v="2"/>
    <x v="1"/>
    <x v="3"/>
    <x v="3"/>
    <x v="15"/>
    <x v="0"/>
    <n v="6"/>
    <n v="575.52"/>
    <n v="3.19"/>
    <n v="1.41"/>
    <n v="1.23"/>
    <n v="0.82"/>
    <x v="15"/>
    <n v="10.94"/>
    <n v="0.79"/>
    <x v="12"/>
    <s v="Delivered"/>
    <n v="5"/>
  </r>
  <r>
    <s v="ORD100017"/>
    <d v="2026-08-05T00:00:00"/>
    <x v="3"/>
    <x v="2"/>
    <x v="7"/>
    <x v="2"/>
    <x v="16"/>
    <x v="0"/>
    <n v="5"/>
    <n v="340.25"/>
    <n v="3.15"/>
    <n v="1.08"/>
    <n v="0.89"/>
    <n v="0.83"/>
    <x v="16"/>
    <n v="12.25"/>
    <n v="2.29"/>
    <x v="13"/>
    <s v="Delivered"/>
    <n v="4.3"/>
  </r>
  <r>
    <s v="ORD100018"/>
    <d v="2026-07-15T00:00:00"/>
    <x v="0"/>
    <x v="0"/>
    <x v="4"/>
    <x v="4"/>
    <x v="17"/>
    <x v="1"/>
    <n v="7"/>
    <n v="421.26"/>
    <n v="3.19"/>
    <n v="1.1399999999999999"/>
    <n v="1.82"/>
    <n v="0.51"/>
    <x v="17"/>
    <n v="13.85"/>
    <n v="2.21"/>
    <x v="14"/>
    <s v="Delivered"/>
    <n v="5"/>
  </r>
  <r>
    <s v="ORD100019"/>
    <d v="2026-08-03T00:00:00"/>
    <x v="3"/>
    <x v="0"/>
    <x v="0"/>
    <x v="0"/>
    <x v="18"/>
    <x v="0"/>
    <n v="5"/>
    <n v="630.03"/>
    <n v="3.08"/>
    <n v="0.94"/>
    <n v="1.74"/>
    <n v="1.22"/>
    <x v="2"/>
    <n v="13.64"/>
    <n v="2.81"/>
    <x v="15"/>
    <s v="Delivered"/>
    <n v="4.4000000000000004"/>
  </r>
  <r>
    <s v="ORD100020"/>
    <d v="2026-08-02T00:00:00"/>
    <x v="1"/>
    <x v="0"/>
    <x v="0"/>
    <x v="0"/>
    <x v="19"/>
    <x v="0"/>
    <n v="6"/>
    <n v="432.89"/>
    <n v="3.03"/>
    <n v="1.06"/>
    <n v="0.92"/>
    <n v="1.04"/>
    <x v="18"/>
    <n v="12.15"/>
    <n v="1.93"/>
    <x v="16"/>
    <s v="Delivered"/>
    <n v="5"/>
  </r>
  <r>
    <s v="ORD100021"/>
    <d v="2026-07-14T00:00:00"/>
    <x v="0"/>
    <x v="1"/>
    <x v="3"/>
    <x v="3"/>
    <x v="20"/>
    <x v="0"/>
    <n v="1"/>
    <n v="810.85"/>
    <n v="2.2799999999999998"/>
    <n v="0.69"/>
    <n v="1.35"/>
    <n v="0.32"/>
    <x v="19"/>
    <n v="10.18"/>
    <n v="1.9"/>
    <x v="17"/>
    <s v="Delivered"/>
    <n v="5"/>
  </r>
  <r>
    <s v="ORD100022"/>
    <d v="2026-08-05T00:00:00"/>
    <x v="3"/>
    <x v="0"/>
    <x v="0"/>
    <x v="0"/>
    <x v="21"/>
    <x v="0"/>
    <n v="9"/>
    <n v="428.07"/>
    <n v="4"/>
    <n v="1.35"/>
    <n v="0.66"/>
    <n v="1.03"/>
    <x v="20"/>
    <n v="14.14"/>
    <n v="2.86"/>
    <x v="18"/>
    <s v="Delivered"/>
    <n v="4.4000000000000004"/>
  </r>
  <r>
    <s v="ORD100023"/>
    <d v="2026-07-24T00:00:00"/>
    <x v="2"/>
    <x v="1"/>
    <x v="6"/>
    <x v="6"/>
    <x v="22"/>
    <x v="0"/>
    <n v="6"/>
    <n v="540.44000000000005"/>
    <n v="2.79"/>
    <n v="1.1000000000000001"/>
    <n v="0.54"/>
    <n v="0.57999999999999996"/>
    <x v="0"/>
    <n v="11.64"/>
    <n v="2.5"/>
    <x v="19"/>
    <s v="Delivered"/>
    <n v="4.5999999999999996"/>
  </r>
  <r>
    <s v="ORD100024"/>
    <d v="2026-07-18T00:00:00"/>
    <x v="0"/>
    <x v="0"/>
    <x v="4"/>
    <x v="4"/>
    <x v="23"/>
    <x v="0"/>
    <n v="8"/>
    <n v="667.87"/>
    <n v="3.94"/>
    <n v="1.2"/>
    <n v="0.92"/>
    <n v="0.6"/>
    <x v="21"/>
    <n v="13.34"/>
    <n v="2.48"/>
    <x v="20"/>
    <s v="Delivered"/>
    <n v="4.4000000000000004"/>
  </r>
  <r>
    <s v="ORD100025"/>
    <d v="2026-07-14T00:00:00"/>
    <x v="0"/>
    <x v="1"/>
    <x v="1"/>
    <x v="1"/>
    <x v="24"/>
    <x v="1"/>
    <n v="3"/>
    <n v="244.69"/>
    <n v="2.27"/>
    <n v="0.77"/>
    <n v="2.17"/>
    <n v="0.85"/>
    <x v="22"/>
    <n v="13.49"/>
    <n v="2.87"/>
    <x v="11"/>
    <s v="Delivered"/>
    <n v="4.8"/>
  </r>
  <r>
    <s v="ORD100026"/>
    <d v="2026-08-09T00:00:00"/>
    <x v="3"/>
    <x v="1"/>
    <x v="1"/>
    <x v="1"/>
    <x v="25"/>
    <x v="0"/>
    <n v="1"/>
    <n v="183.05"/>
    <n v="2.2999999999999998"/>
    <n v="0.61"/>
    <n v="1.23"/>
    <n v="0.87"/>
    <x v="23"/>
    <n v="9.1"/>
    <n v="0.82"/>
    <x v="21"/>
    <s v="Delivered"/>
    <n v="5"/>
  </r>
  <r>
    <s v="ORD100027"/>
    <d v="2026-08-02T00:00:00"/>
    <x v="1"/>
    <x v="1"/>
    <x v="3"/>
    <x v="3"/>
    <x v="26"/>
    <x v="0"/>
    <n v="6"/>
    <n v="225.38"/>
    <n v="3.25"/>
    <n v="1.01"/>
    <n v="1.23"/>
    <n v="0.65"/>
    <x v="24"/>
    <n v="14.17"/>
    <n v="2.88"/>
    <x v="5"/>
    <s v="Delivered"/>
    <n v="4.2"/>
  </r>
  <r>
    <s v="ORD100028"/>
    <d v="2026-07-13T00:00:00"/>
    <x v="0"/>
    <x v="1"/>
    <x v="3"/>
    <x v="3"/>
    <x v="27"/>
    <x v="0"/>
    <n v="5"/>
    <n v="727.27"/>
    <n v="3.54"/>
    <n v="1.0900000000000001"/>
    <n v="1.1000000000000001"/>
    <n v="0.43"/>
    <x v="25"/>
    <n v="13.66"/>
    <n v="2.75"/>
    <x v="22"/>
    <s v="Delivered"/>
    <n v="4.5"/>
  </r>
  <r>
    <s v="ORD100029"/>
    <d v="2026-07-24T00:00:00"/>
    <x v="2"/>
    <x v="1"/>
    <x v="3"/>
    <x v="3"/>
    <x v="28"/>
    <x v="0"/>
    <n v="5"/>
    <n v="400.67"/>
    <n v="2.82"/>
    <n v="1.02"/>
    <n v="0.78"/>
    <n v="0.51"/>
    <x v="26"/>
    <n v="10.29"/>
    <n v="1.28"/>
    <x v="23"/>
    <s v="Delivered"/>
    <n v="5"/>
  </r>
  <r>
    <s v="ORD100030"/>
    <d v="2026-08-07T00:00:00"/>
    <x v="3"/>
    <x v="1"/>
    <x v="1"/>
    <x v="1"/>
    <x v="29"/>
    <x v="0"/>
    <n v="3"/>
    <n v="960.48"/>
    <n v="2.34"/>
    <n v="0.44"/>
    <n v="1.32"/>
    <n v="0.76"/>
    <x v="27"/>
    <n v="10.38"/>
    <n v="1.98"/>
    <x v="24"/>
    <s v="Delivered"/>
    <n v="4"/>
  </r>
  <r>
    <s v="ORD100031"/>
    <d v="2026-08-03T00:00:00"/>
    <x v="3"/>
    <x v="2"/>
    <x v="5"/>
    <x v="5"/>
    <x v="30"/>
    <x v="0"/>
    <n v="4"/>
    <n v="398.44"/>
    <n v="2.67"/>
    <n v="0.95"/>
    <n v="1.42"/>
    <n v="0.9"/>
    <x v="28"/>
    <n v="11.5"/>
    <n v="2.16"/>
    <x v="25"/>
    <s v="Delivered"/>
    <n v="5"/>
  </r>
  <r>
    <s v="ORD100032"/>
    <d v="2026-07-24T00:00:00"/>
    <x v="2"/>
    <x v="1"/>
    <x v="1"/>
    <x v="1"/>
    <x v="31"/>
    <x v="0"/>
    <n v="4"/>
    <n v="533.22"/>
    <n v="2.57"/>
    <n v="0.89"/>
    <n v="0.71"/>
    <n v="0.54"/>
    <x v="29"/>
    <n v="11.16"/>
    <n v="2.08"/>
    <x v="26"/>
    <s v="Delivered"/>
    <n v="4.4000000000000004"/>
  </r>
  <r>
    <s v="ORD100033"/>
    <d v="2026-08-06T00:00:00"/>
    <x v="3"/>
    <x v="1"/>
    <x v="1"/>
    <x v="1"/>
    <x v="32"/>
    <x v="0"/>
    <n v="4"/>
    <n v="777.58"/>
    <n v="2.96"/>
    <n v="0.87"/>
    <n v="0.95"/>
    <n v="1.03"/>
    <x v="4"/>
    <n v="12.87"/>
    <n v="2.5"/>
    <x v="26"/>
    <s v="Delivered"/>
    <n v="4.0999999999999996"/>
  </r>
  <r>
    <s v="ORD100034"/>
    <d v="2026-07-29T00:00:00"/>
    <x v="1"/>
    <x v="0"/>
    <x v="2"/>
    <x v="2"/>
    <x v="33"/>
    <x v="0"/>
    <n v="4"/>
    <n v="861.1"/>
    <n v="2.11"/>
    <n v="0.82"/>
    <n v="1.43"/>
    <n v="1.06"/>
    <x v="30"/>
    <n v="14.34"/>
    <n v="3.49"/>
    <x v="27"/>
    <s v="Delivered"/>
    <n v="3.7"/>
  </r>
  <r>
    <s v="ORD100035"/>
    <d v="2026-08-08T00:00:00"/>
    <x v="3"/>
    <x v="2"/>
    <x v="5"/>
    <x v="5"/>
    <x v="34"/>
    <x v="0"/>
    <n v="3"/>
    <n v="871.07"/>
    <n v="2.09"/>
    <n v="0.92"/>
    <n v="0.96"/>
    <n v="0.81"/>
    <x v="31"/>
    <n v="12.06"/>
    <n v="3.17"/>
    <x v="23"/>
    <s v="Delivered"/>
    <n v="3.9"/>
  </r>
  <r>
    <s v="ORD100036"/>
    <d v="2026-08-08T00:00:00"/>
    <x v="3"/>
    <x v="1"/>
    <x v="1"/>
    <x v="1"/>
    <x v="35"/>
    <x v="0"/>
    <n v="6"/>
    <n v="717.51"/>
    <n v="2.75"/>
    <n v="1.1399999999999999"/>
    <n v="1.0900000000000001"/>
    <n v="0.95"/>
    <x v="32"/>
    <n v="10.08"/>
    <n v="1.02"/>
    <x v="0"/>
    <s v="Delivered"/>
    <n v="4.4000000000000004"/>
  </r>
  <r>
    <s v="ORD100037"/>
    <d v="2026-07-22T00:00:00"/>
    <x v="2"/>
    <x v="0"/>
    <x v="2"/>
    <x v="2"/>
    <x v="36"/>
    <x v="1"/>
    <n v="5"/>
    <n v="684.33"/>
    <n v="3.23"/>
    <n v="0.86"/>
    <n v="2.85"/>
    <n v="1.01"/>
    <x v="33"/>
    <n v="14.76"/>
    <n v="3.01"/>
    <x v="22"/>
    <s v="Delivered"/>
    <n v="4.0999999999999996"/>
  </r>
  <r>
    <s v="ORD100038"/>
    <d v="2026-08-09T00:00:00"/>
    <x v="3"/>
    <x v="0"/>
    <x v="0"/>
    <x v="0"/>
    <x v="37"/>
    <x v="1"/>
    <n v="4"/>
    <n v="606.65"/>
    <n v="3.28"/>
    <n v="0.92"/>
    <n v="1.92"/>
    <n v="1.24"/>
    <x v="34"/>
    <n v="15.85"/>
    <n v="3.65"/>
    <x v="28"/>
    <s v="Delivered"/>
    <n v="5"/>
  </r>
  <r>
    <s v="ORD100039"/>
    <d v="2026-08-09T00:00:00"/>
    <x v="3"/>
    <x v="1"/>
    <x v="3"/>
    <x v="3"/>
    <x v="38"/>
    <x v="0"/>
    <n v="4"/>
    <n v="640.1"/>
    <n v="2.64"/>
    <n v="0.75"/>
    <n v="1.33"/>
    <n v="0.92"/>
    <x v="35"/>
    <n v="12.84"/>
    <n v="2.5499999999999998"/>
    <x v="29"/>
    <s v="Delivered"/>
    <n v="4.4000000000000004"/>
  </r>
  <r>
    <s v="ORD100040"/>
    <d v="2026-07-28T00:00:00"/>
    <x v="1"/>
    <x v="2"/>
    <x v="7"/>
    <x v="2"/>
    <x v="39"/>
    <x v="1"/>
    <n v="4"/>
    <n v="400.79"/>
    <n v="2.62"/>
    <n v="0.7"/>
    <n v="1.66"/>
    <n v="1.17"/>
    <x v="36"/>
    <n v="14.26"/>
    <n v="3.43"/>
    <x v="30"/>
    <s v="Delivered"/>
    <n v="4.5999999999999996"/>
  </r>
  <r>
    <s v="ORD100041"/>
    <d v="2026-07-27T00:00:00"/>
    <x v="1"/>
    <x v="2"/>
    <x v="7"/>
    <x v="2"/>
    <x v="40"/>
    <x v="0"/>
    <n v="3"/>
    <n v="352.72"/>
    <n v="2.48"/>
    <n v="0.71"/>
    <n v="1.25"/>
    <n v="0.88"/>
    <x v="37"/>
    <n v="14.59"/>
    <n v="4.01"/>
    <x v="31"/>
    <s v="Delivered"/>
    <n v="4.5999999999999996"/>
  </r>
  <r>
    <s v="ORD100042"/>
    <d v="2026-07-27T00:00:00"/>
    <x v="1"/>
    <x v="1"/>
    <x v="1"/>
    <x v="1"/>
    <x v="41"/>
    <x v="1"/>
    <n v="3"/>
    <n v="499.39"/>
    <n v="2.87"/>
    <n v="0.89"/>
    <n v="1.83"/>
    <n v="0.82"/>
    <x v="38"/>
    <n v="14.58"/>
    <n v="3.37"/>
    <x v="32"/>
    <s v="Delivered"/>
    <n v="4.5"/>
  </r>
  <r>
    <s v="ORD100043"/>
    <d v="2026-07-31T00:00:00"/>
    <x v="1"/>
    <x v="1"/>
    <x v="6"/>
    <x v="6"/>
    <x v="42"/>
    <x v="0"/>
    <n v="7"/>
    <n v="469.37"/>
    <n v="3.02"/>
    <n v="1.22"/>
    <n v="0.76"/>
    <n v="0.95"/>
    <x v="0"/>
    <n v="12.58"/>
    <n v="2.42"/>
    <x v="11"/>
    <s v="Delivered"/>
    <n v="4.7"/>
  </r>
  <r>
    <s v="ORD100044"/>
    <d v="2026-07-24T00:00:00"/>
    <x v="2"/>
    <x v="2"/>
    <x v="5"/>
    <x v="5"/>
    <x v="43"/>
    <x v="0"/>
    <n v="3"/>
    <n v="418.42"/>
    <n v="2.54"/>
    <n v="0.85"/>
    <n v="1.33"/>
    <n v="0.83"/>
    <x v="39"/>
    <n v="12.49"/>
    <n v="3.14"/>
    <x v="33"/>
    <s v="Delivered"/>
    <n v="4.2"/>
  </r>
  <r>
    <s v="ORD100045"/>
    <d v="2026-08-04T00:00:00"/>
    <x v="3"/>
    <x v="0"/>
    <x v="4"/>
    <x v="4"/>
    <x v="44"/>
    <x v="0"/>
    <n v="2"/>
    <n v="625.35"/>
    <n v="2.58"/>
    <n v="0.8"/>
    <n v="1.61"/>
    <n v="0.77"/>
    <x v="40"/>
    <n v="12.12"/>
    <n v="2.33"/>
    <x v="34"/>
    <s v="Delivered"/>
    <n v="5"/>
  </r>
  <r>
    <s v="ORD100046"/>
    <d v="2026-08-01T00:00:00"/>
    <x v="1"/>
    <x v="0"/>
    <x v="0"/>
    <x v="0"/>
    <x v="45"/>
    <x v="0"/>
    <n v="2"/>
    <n v="671.95"/>
    <n v="2.42"/>
    <n v="0.77"/>
    <n v="0.78"/>
    <n v="0.8"/>
    <x v="41"/>
    <n v="9.27"/>
    <n v="2.2200000000000002"/>
    <x v="23"/>
    <s v="Delivered"/>
    <n v="5"/>
  </r>
  <r>
    <s v="ORD100047"/>
    <d v="2026-08-06T00:00:00"/>
    <x v="3"/>
    <x v="0"/>
    <x v="2"/>
    <x v="2"/>
    <x v="46"/>
    <x v="1"/>
    <n v="6"/>
    <n v="515.91"/>
    <n v="3.19"/>
    <n v="0.95"/>
    <n v="1.71"/>
    <n v="1.28"/>
    <x v="42"/>
    <n v="13.38"/>
    <n v="2.13"/>
    <x v="7"/>
    <s v="Delivered"/>
    <n v="3.8"/>
  </r>
  <r>
    <s v="ORD100048"/>
    <d v="2026-07-15T00:00:00"/>
    <x v="0"/>
    <x v="0"/>
    <x v="0"/>
    <x v="0"/>
    <x v="47"/>
    <x v="0"/>
    <n v="5"/>
    <n v="765.96"/>
    <n v="3.25"/>
    <n v="1"/>
    <n v="1.1000000000000001"/>
    <n v="0.51"/>
    <x v="43"/>
    <n v="13.26"/>
    <n v="3.61"/>
    <x v="35"/>
    <s v="Delivered"/>
    <n v="4.0999999999999996"/>
  </r>
  <r>
    <s v="ORD100049"/>
    <d v="2026-07-17T00:00:00"/>
    <x v="0"/>
    <x v="2"/>
    <x v="5"/>
    <x v="5"/>
    <x v="48"/>
    <x v="1"/>
    <n v="6"/>
    <n v="294.5"/>
    <n v="2.17"/>
    <n v="1.1299999999999999"/>
    <n v="1.41"/>
    <n v="0.99"/>
    <x v="40"/>
    <n v="12.06"/>
    <n v="1.71"/>
    <x v="36"/>
    <s v="Delivered"/>
    <n v="4.5999999999999996"/>
  </r>
  <r>
    <s v="ORD100050"/>
    <d v="2026-07-31T00:00:00"/>
    <x v="1"/>
    <x v="2"/>
    <x v="7"/>
    <x v="2"/>
    <x v="49"/>
    <x v="0"/>
    <n v="6"/>
    <n v="465.14"/>
    <n v="3.36"/>
    <n v="1.1200000000000001"/>
    <n v="1.27"/>
    <n v="1.22"/>
    <x v="44"/>
    <n v="15.65"/>
    <n v="3.58"/>
    <x v="37"/>
    <s v="Delivered"/>
    <n v="3.9"/>
  </r>
  <r>
    <s v="ORD100051"/>
    <d v="2026-07-19T00:00:00"/>
    <x v="0"/>
    <x v="2"/>
    <x v="7"/>
    <x v="2"/>
    <x v="50"/>
    <x v="0"/>
    <n v="5"/>
    <n v="370.97"/>
    <n v="2.67"/>
    <n v="1.0900000000000001"/>
    <n v="0.3"/>
    <n v="0.41"/>
    <x v="4"/>
    <n v="11.53"/>
    <n v="2.65"/>
    <x v="38"/>
    <s v="Delivered"/>
    <n v="5"/>
  </r>
  <r>
    <s v="ORD100052"/>
    <d v="2026-08-02T00:00:00"/>
    <x v="1"/>
    <x v="0"/>
    <x v="4"/>
    <x v="4"/>
    <x v="51"/>
    <x v="0"/>
    <n v="6"/>
    <n v="164.02"/>
    <n v="2.48"/>
    <n v="1.1100000000000001"/>
    <n v="1.3"/>
    <n v="0.54"/>
    <x v="45"/>
    <n v="10.42"/>
    <n v="0.94"/>
    <x v="24"/>
    <s v="Delivered"/>
    <n v="4.5999999999999996"/>
  </r>
  <r>
    <s v="ORD100053"/>
    <d v="2026-07-21T00:00:00"/>
    <x v="2"/>
    <x v="2"/>
    <x v="7"/>
    <x v="2"/>
    <x v="52"/>
    <x v="0"/>
    <n v="4"/>
    <n v="485.12"/>
    <n v="2.86"/>
    <n v="0.91"/>
    <n v="0.45"/>
    <n v="0.72"/>
    <x v="18"/>
    <n v="11.04"/>
    <n v="2.5299999999999998"/>
    <x v="26"/>
    <s v="Delivered"/>
    <n v="5"/>
  </r>
  <r>
    <s v="ORD100054"/>
    <d v="2026-07-19T00:00:00"/>
    <x v="0"/>
    <x v="0"/>
    <x v="2"/>
    <x v="2"/>
    <x v="53"/>
    <x v="0"/>
    <n v="5"/>
    <n v="478.09"/>
    <n v="3.38"/>
    <n v="1.08"/>
    <n v="1.36"/>
    <n v="0.68"/>
    <x v="46"/>
    <n v="10.78"/>
    <n v="0.4"/>
    <x v="39"/>
    <s v="Delivered"/>
    <n v="5"/>
  </r>
  <r>
    <s v="ORD100055"/>
    <d v="2026-07-30T00:00:00"/>
    <x v="1"/>
    <x v="0"/>
    <x v="4"/>
    <x v="4"/>
    <x v="54"/>
    <x v="0"/>
    <n v="7"/>
    <n v="772.42"/>
    <n v="3.29"/>
    <n v="1.1100000000000001"/>
    <n v="0.99"/>
    <n v="0.75"/>
    <x v="47"/>
    <n v="13.63"/>
    <n v="2.76"/>
    <x v="7"/>
    <s v="Delivered"/>
    <n v="4.7"/>
  </r>
  <r>
    <s v="ORD100057"/>
    <d v="2026-08-06T00:00:00"/>
    <x v="3"/>
    <x v="2"/>
    <x v="7"/>
    <x v="2"/>
    <x v="55"/>
    <x v="0"/>
    <n v="3"/>
    <n v="315.64999999999998"/>
    <n v="3.02"/>
    <n v="0.77"/>
    <n v="0.97"/>
    <n v="0.67"/>
    <x v="48"/>
    <n v="11.34"/>
    <n v="1.67"/>
    <x v="40"/>
    <s v="Delivered"/>
    <n v="5"/>
  </r>
  <r>
    <s v="ORD100060"/>
    <d v="2026-07-30T00:00:00"/>
    <x v="1"/>
    <x v="2"/>
    <x v="5"/>
    <x v="5"/>
    <x v="56"/>
    <x v="1"/>
    <n v="4"/>
    <n v="604.78"/>
    <n v="2.94"/>
    <n v="0.85"/>
    <n v="2.09"/>
    <n v="1.35"/>
    <x v="49"/>
    <n v="13.03"/>
    <n v="1.99"/>
    <x v="41"/>
    <s v="Delivered"/>
    <n v="4.7"/>
  </r>
  <r>
    <s v="ORD100061"/>
    <d v="2026-08-07T00:00:00"/>
    <x v="3"/>
    <x v="0"/>
    <x v="2"/>
    <x v="2"/>
    <x v="57"/>
    <x v="0"/>
    <n v="3"/>
    <n v="459.23"/>
    <n v="2.4900000000000002"/>
    <n v="0.69"/>
    <n v="2.15"/>
    <n v="1.27"/>
    <x v="50"/>
    <n v="10.95"/>
    <n v="1.25"/>
    <x v="35"/>
    <s v="Delivered"/>
    <n v="5"/>
  </r>
  <r>
    <s v="ORD100062"/>
    <d v="2026-07-21T00:00:00"/>
    <x v="2"/>
    <x v="1"/>
    <x v="6"/>
    <x v="6"/>
    <x v="34"/>
    <x v="0"/>
    <n v="5"/>
    <n v="327.3"/>
    <n v="2.34"/>
    <n v="0.91"/>
    <n v="0.32"/>
    <n v="0.53"/>
    <x v="51"/>
    <n v="11.69"/>
    <n v="3.53"/>
    <x v="5"/>
    <s v="Delivered"/>
    <n v="4.9000000000000004"/>
  </r>
  <r>
    <s v="ORD100063"/>
    <d v="2026-08-07T00:00:00"/>
    <x v="3"/>
    <x v="1"/>
    <x v="1"/>
    <x v="1"/>
    <x v="58"/>
    <x v="0"/>
    <n v="5"/>
    <n v="433"/>
    <n v="2.81"/>
    <n v="0.72"/>
    <n v="1.68"/>
    <n v="0.81"/>
    <x v="52"/>
    <n v="15.55"/>
    <n v="3.97"/>
    <x v="28"/>
    <s v="Delivered"/>
    <n v="3.6"/>
  </r>
  <r>
    <s v="ORD100064"/>
    <d v="2026-08-02T00:00:00"/>
    <x v="1"/>
    <x v="1"/>
    <x v="6"/>
    <x v="6"/>
    <x v="59"/>
    <x v="0"/>
    <n v="6"/>
    <n v="695.97"/>
    <n v="2.82"/>
    <n v="1.06"/>
    <n v="1.03"/>
    <n v="0.94"/>
    <x v="53"/>
    <n v="11.82"/>
    <n v="2.2000000000000002"/>
    <x v="42"/>
    <s v="Delivered"/>
    <n v="4.4000000000000004"/>
  </r>
  <r>
    <s v="ORD100065"/>
    <d v="2026-07-14T00:00:00"/>
    <x v="0"/>
    <x v="1"/>
    <x v="1"/>
    <x v="1"/>
    <x v="60"/>
    <x v="0"/>
    <n v="4"/>
    <n v="839.23"/>
    <n v="3.44"/>
    <n v="0.87"/>
    <n v="0.44"/>
    <n v="0.48"/>
    <x v="54"/>
    <n v="12.94"/>
    <n v="3.11"/>
    <x v="33"/>
    <s v="Delivered"/>
    <n v="4.5999999999999996"/>
  </r>
  <r>
    <s v="ORD100066"/>
    <d v="2026-08-01T00:00:00"/>
    <x v="1"/>
    <x v="1"/>
    <x v="3"/>
    <x v="3"/>
    <x v="61"/>
    <x v="0"/>
    <n v="8"/>
    <n v="777.78"/>
    <n v="3.5"/>
    <n v="1.0900000000000001"/>
    <n v="0.87"/>
    <n v="0.78"/>
    <x v="7"/>
    <n v="13.91"/>
    <n v="3.41"/>
    <x v="43"/>
    <s v="Delivered"/>
    <n v="4.5"/>
  </r>
  <r>
    <s v="ORD100067"/>
    <d v="2026-08-09T00:00:00"/>
    <x v="3"/>
    <x v="0"/>
    <x v="0"/>
    <x v="0"/>
    <x v="10"/>
    <x v="0"/>
    <n v="5"/>
    <n v="412.01"/>
    <n v="2.94"/>
    <n v="1.03"/>
    <n v="1.04"/>
    <n v="0.91"/>
    <x v="55"/>
    <n v="9.99"/>
    <n v="1.53"/>
    <x v="21"/>
    <s v="Delivered"/>
    <n v="5"/>
  </r>
  <r>
    <s v="ORD100068"/>
    <d v="2026-07-27T00:00:00"/>
    <x v="1"/>
    <x v="1"/>
    <x v="3"/>
    <x v="3"/>
    <x v="62"/>
    <x v="0"/>
    <n v="6"/>
    <n v="298.47000000000003"/>
    <n v="3.31"/>
    <n v="1.1399999999999999"/>
    <n v="1.66"/>
    <n v="0.44"/>
    <x v="56"/>
    <n v="12.13"/>
    <n v="1.76"/>
    <x v="2"/>
    <s v="Delivered"/>
    <n v="4.0999999999999996"/>
  </r>
  <r>
    <s v="ORD100069"/>
    <d v="2026-08-09T00:00:00"/>
    <x v="3"/>
    <x v="0"/>
    <x v="0"/>
    <x v="0"/>
    <x v="63"/>
    <x v="1"/>
    <n v="3"/>
    <n v="525.36"/>
    <n v="2.48"/>
    <n v="0.6"/>
    <n v="1.97"/>
    <n v="1.1599999999999999"/>
    <x v="57"/>
    <n v="13.73"/>
    <n v="3.56"/>
    <x v="25"/>
    <s v="Delivered"/>
    <n v="4.8"/>
  </r>
  <r>
    <s v="ORD100070"/>
    <d v="2026-07-19T00:00:00"/>
    <x v="0"/>
    <x v="1"/>
    <x v="3"/>
    <x v="3"/>
    <x v="64"/>
    <x v="0"/>
    <n v="10"/>
    <n v="181.68"/>
    <n v="4.59"/>
    <n v="1.26"/>
    <n v="1.63"/>
    <n v="0.43"/>
    <x v="58"/>
    <n v="16.34"/>
    <n v="3.72"/>
    <x v="44"/>
    <s v="Delivered"/>
    <n v="4.9000000000000004"/>
  </r>
  <r>
    <s v="ORD100071"/>
    <d v="2026-07-24T00:00:00"/>
    <x v="2"/>
    <x v="0"/>
    <x v="4"/>
    <x v="4"/>
    <x v="65"/>
    <x v="0"/>
    <n v="3"/>
    <n v="558.16999999999996"/>
    <n v="2.2400000000000002"/>
    <n v="0.7"/>
    <n v="0.36"/>
    <n v="0.57999999999999996"/>
    <x v="59"/>
    <n v="10.029999999999999"/>
    <n v="2.71"/>
    <x v="2"/>
    <s v="Delivered"/>
    <n v="5"/>
  </r>
  <r>
    <s v="ORD100072"/>
    <d v="2026-07-20T00:00:00"/>
    <x v="2"/>
    <x v="1"/>
    <x v="3"/>
    <x v="3"/>
    <x v="66"/>
    <x v="0"/>
    <n v="2"/>
    <n v="473.43"/>
    <n v="2.31"/>
    <n v="0.6"/>
    <n v="1.22"/>
    <n v="0.93"/>
    <x v="60"/>
    <n v="11.04"/>
    <n v="1.41"/>
    <x v="45"/>
    <s v="Delivered"/>
    <n v="4.7"/>
  </r>
  <r>
    <s v="ORD100073"/>
    <d v="2026-07-27T00:00:00"/>
    <x v="1"/>
    <x v="1"/>
    <x v="3"/>
    <x v="3"/>
    <x v="67"/>
    <x v="1"/>
    <n v="4"/>
    <n v="416.11"/>
    <n v="2.42"/>
    <n v="0.97"/>
    <n v="1.8"/>
    <n v="0.81"/>
    <x v="61"/>
    <n v="16.12"/>
    <n v="4.24"/>
    <x v="46"/>
    <s v="Delivered"/>
    <n v="4.5"/>
  </r>
  <r>
    <s v="ORD100074"/>
    <d v="2026-07-15T00:00:00"/>
    <x v="0"/>
    <x v="0"/>
    <x v="0"/>
    <x v="0"/>
    <x v="68"/>
    <x v="0"/>
    <n v="7"/>
    <n v="212.95"/>
    <n v="2.88"/>
    <n v="1.0900000000000001"/>
    <n v="0.88"/>
    <n v="0.7"/>
    <x v="62"/>
    <n v="10.97"/>
    <n v="1.72"/>
    <x v="47"/>
    <s v="Delivered"/>
    <n v="5"/>
  </r>
  <r>
    <s v="ORD100075"/>
    <d v="2026-07-26T00:00:00"/>
    <x v="2"/>
    <x v="0"/>
    <x v="0"/>
    <x v="0"/>
    <x v="69"/>
    <x v="0"/>
    <n v="2"/>
    <n v="592.45000000000005"/>
    <n v="2.0299999999999998"/>
    <n v="0.68"/>
    <n v="1.18"/>
    <n v="0.62"/>
    <x v="63"/>
    <n v="10.85"/>
    <n v="1.9"/>
    <x v="29"/>
    <s v="Delivered"/>
    <n v="5"/>
  </r>
  <r>
    <s v="ORD100076"/>
    <d v="2026-07-29T00:00:00"/>
    <x v="1"/>
    <x v="1"/>
    <x v="1"/>
    <x v="1"/>
    <x v="70"/>
    <x v="1"/>
    <n v="3"/>
    <n v="404.11"/>
    <n v="2.4500000000000002"/>
    <n v="0.55000000000000004"/>
    <n v="1.74"/>
    <n v="0.99"/>
    <x v="64"/>
    <n v="12.59"/>
    <n v="2.76"/>
    <x v="18"/>
    <s v="Delivered"/>
    <n v="4.5999999999999996"/>
  </r>
  <r>
    <s v="ORD100077"/>
    <d v="2026-07-16T00:00:00"/>
    <x v="0"/>
    <x v="2"/>
    <x v="5"/>
    <x v="5"/>
    <x v="71"/>
    <x v="0"/>
    <n v="9"/>
    <n v="289.41000000000003"/>
    <n v="3.63"/>
    <n v="1.35"/>
    <n v="0.3"/>
    <n v="0.69"/>
    <x v="65"/>
    <n v="14.55"/>
    <n v="3.6"/>
    <x v="48"/>
    <s v="Delivered"/>
    <n v="4.7"/>
  </r>
  <r>
    <s v="ORD100078"/>
    <d v="2026-07-30T00:00:00"/>
    <x v="1"/>
    <x v="1"/>
    <x v="6"/>
    <x v="6"/>
    <x v="72"/>
    <x v="0"/>
    <n v="8"/>
    <n v="120"/>
    <n v="3.32"/>
    <n v="1.04"/>
    <n v="1.06"/>
    <n v="0.85"/>
    <x v="66"/>
    <n v="13.68"/>
    <n v="2.97"/>
    <x v="31"/>
    <s v="Delivered"/>
    <n v="3.4"/>
  </r>
  <r>
    <s v="ORD100079"/>
    <d v="2026-07-20T00:00:00"/>
    <x v="2"/>
    <x v="1"/>
    <x v="3"/>
    <x v="3"/>
    <x v="73"/>
    <x v="0"/>
    <n v="4"/>
    <n v="495.05"/>
    <n v="2.19"/>
    <n v="0.88"/>
    <n v="1.37"/>
    <n v="0.77"/>
    <x v="67"/>
    <n v="12.04"/>
    <n v="2.57"/>
    <x v="10"/>
    <s v="Delivered"/>
    <n v="5"/>
  </r>
  <r>
    <s v="ORD100080"/>
    <d v="2026-07-16T00:00:00"/>
    <x v="0"/>
    <x v="2"/>
    <x v="5"/>
    <x v="5"/>
    <x v="74"/>
    <x v="1"/>
    <n v="2"/>
    <n v="819.01"/>
    <n v="2.21"/>
    <n v="0.74"/>
    <n v="1.79"/>
    <n v="0.97"/>
    <x v="68"/>
    <n v="13.91"/>
    <n v="2.87"/>
    <x v="33"/>
    <s v="Delivered"/>
    <n v="4.5999999999999996"/>
  </r>
  <r>
    <s v="ORD100081"/>
    <d v="2026-07-14T00:00:00"/>
    <x v="0"/>
    <x v="0"/>
    <x v="0"/>
    <x v="0"/>
    <x v="75"/>
    <x v="0"/>
    <n v="7"/>
    <n v="799.03"/>
    <n v="2.81"/>
    <n v="1.27"/>
    <n v="1.18"/>
    <n v="0.49"/>
    <x v="69"/>
    <n v="12.32"/>
    <n v="2.2400000000000002"/>
    <x v="3"/>
    <s v="Delivered"/>
    <n v="4.5999999999999996"/>
  </r>
  <r>
    <s v="ORD100083"/>
    <d v="2026-08-03T00:00:00"/>
    <x v="3"/>
    <x v="0"/>
    <x v="4"/>
    <x v="4"/>
    <x v="76"/>
    <x v="0"/>
    <n v="6"/>
    <n v="391.6"/>
    <n v="3.15"/>
    <n v="0.67"/>
    <n v="1.35"/>
    <n v="0.71"/>
    <x v="70"/>
    <n v="8.8800000000000008"/>
    <n v="0.4"/>
    <x v="15"/>
    <s v="Delivered"/>
    <n v="4.8"/>
  </r>
  <r>
    <s v="ORD100084"/>
    <d v="2026-07-22T00:00:00"/>
    <x v="2"/>
    <x v="0"/>
    <x v="2"/>
    <x v="2"/>
    <x v="77"/>
    <x v="1"/>
    <n v="4"/>
    <n v="584.38"/>
    <n v="2.17"/>
    <n v="0.89"/>
    <n v="2.54"/>
    <n v="0.77"/>
    <x v="71"/>
    <n v="12.27"/>
    <n v="2.1800000000000002"/>
    <x v="38"/>
    <s v="Delivered"/>
    <n v="4.5"/>
  </r>
  <r>
    <s v="ORD100085"/>
    <d v="2026-07-16T00:00:00"/>
    <x v="0"/>
    <x v="0"/>
    <x v="4"/>
    <x v="4"/>
    <x v="78"/>
    <x v="0"/>
    <n v="4"/>
    <n v="320.29000000000002"/>
    <n v="2.57"/>
    <n v="1.0900000000000001"/>
    <n v="0.3"/>
    <n v="1.08"/>
    <x v="72"/>
    <n v="11.42"/>
    <n v="2.42"/>
    <x v="49"/>
    <s v="Delivered"/>
    <n v="5"/>
  </r>
  <r>
    <s v="ORD100086"/>
    <d v="2026-08-03T00:00:00"/>
    <x v="3"/>
    <x v="1"/>
    <x v="1"/>
    <x v="1"/>
    <x v="79"/>
    <x v="0"/>
    <n v="6"/>
    <n v="554.32000000000005"/>
    <n v="2.86"/>
    <n v="1.18"/>
    <n v="1.22"/>
    <n v="1.1299999999999999"/>
    <x v="73"/>
    <n v="10.94"/>
    <n v="1.1599999999999999"/>
    <x v="50"/>
    <s v="Delivered"/>
    <n v="4.5"/>
  </r>
  <r>
    <s v="ORD100087"/>
    <d v="2026-07-30T00:00:00"/>
    <x v="1"/>
    <x v="1"/>
    <x v="3"/>
    <x v="3"/>
    <x v="80"/>
    <x v="0"/>
    <n v="6"/>
    <n v="637.89"/>
    <n v="3.23"/>
    <n v="1.06"/>
    <n v="1.1599999999999999"/>
    <n v="0.55000000000000004"/>
    <x v="74"/>
    <n v="12.03"/>
    <n v="2.5499999999999998"/>
    <x v="44"/>
    <s v="Delivered"/>
    <n v="4.5"/>
  </r>
  <r>
    <s v="ORD100088"/>
    <d v="2026-08-07T00:00:00"/>
    <x v="3"/>
    <x v="0"/>
    <x v="0"/>
    <x v="0"/>
    <x v="64"/>
    <x v="0"/>
    <n v="5"/>
    <n v="720.85"/>
    <n v="3.37"/>
    <n v="0.89"/>
    <n v="1.08"/>
    <n v="0.67"/>
    <x v="75"/>
    <n v="13.17"/>
    <n v="2.02"/>
    <x v="29"/>
    <s v="Delivered"/>
    <n v="4.5999999999999996"/>
  </r>
  <r>
    <s v="ORD100089"/>
    <d v="2026-07-24T00:00:00"/>
    <x v="2"/>
    <x v="2"/>
    <x v="7"/>
    <x v="2"/>
    <x v="81"/>
    <x v="1"/>
    <n v="7"/>
    <n v="481.97"/>
    <n v="2.68"/>
    <n v="1.21"/>
    <n v="1.89"/>
    <n v="1.01"/>
    <x v="76"/>
    <n v="16.920000000000002"/>
    <n v="4.03"/>
    <x v="51"/>
    <s v="Delivered"/>
    <n v="4.5"/>
  </r>
  <r>
    <s v="ORD100091"/>
    <d v="2026-07-22T00:00:00"/>
    <x v="2"/>
    <x v="1"/>
    <x v="1"/>
    <x v="1"/>
    <x v="82"/>
    <x v="0"/>
    <n v="5"/>
    <n v="341.96"/>
    <n v="2.84"/>
    <n v="1.01"/>
    <n v="0.63"/>
    <n v="0.77"/>
    <x v="77"/>
    <n v="10.75"/>
    <n v="1.78"/>
    <x v="52"/>
    <s v="Delivered"/>
    <n v="4.3"/>
  </r>
  <r>
    <s v="ORD100092"/>
    <d v="2026-07-16T00:00:00"/>
    <x v="0"/>
    <x v="0"/>
    <x v="2"/>
    <x v="2"/>
    <x v="83"/>
    <x v="0"/>
    <n v="3"/>
    <n v="351.16"/>
    <n v="2.69"/>
    <n v="0.85"/>
    <n v="1.1100000000000001"/>
    <n v="0.5"/>
    <x v="11"/>
    <n v="10.93"/>
    <n v="2.06"/>
    <x v="0"/>
    <s v="Delivered"/>
    <n v="4.5999999999999996"/>
  </r>
  <r>
    <s v="ORD100093"/>
    <d v="2026-07-26T00:00:00"/>
    <x v="2"/>
    <x v="0"/>
    <x v="4"/>
    <x v="4"/>
    <x v="84"/>
    <x v="0"/>
    <n v="8"/>
    <n v="459.23"/>
    <n v="3.63"/>
    <n v="1.32"/>
    <n v="0.49"/>
    <n v="0.65"/>
    <x v="78"/>
    <n v="11.57"/>
    <n v="2.13"/>
    <x v="53"/>
    <s v="Delivered"/>
    <n v="4.5"/>
  </r>
  <r>
    <s v="ORD100094"/>
    <d v="2026-07-28T00:00:00"/>
    <x v="1"/>
    <x v="1"/>
    <x v="1"/>
    <x v="1"/>
    <x v="85"/>
    <x v="0"/>
    <n v="11"/>
    <n v="566.13"/>
    <n v="3.96"/>
    <n v="1.5"/>
    <n v="0.61"/>
    <n v="0.85"/>
    <x v="27"/>
    <n v="12.44"/>
    <n v="1.79"/>
    <x v="22"/>
    <s v="Delivered"/>
    <n v="4.7"/>
  </r>
  <r>
    <s v="ORD100095"/>
    <d v="2026-07-27T00:00:00"/>
    <x v="1"/>
    <x v="1"/>
    <x v="6"/>
    <x v="6"/>
    <x v="86"/>
    <x v="0"/>
    <n v="5"/>
    <n v="664.45"/>
    <n v="2.79"/>
    <n v="1"/>
    <n v="1.23"/>
    <n v="0.81"/>
    <x v="79"/>
    <n v="12.36"/>
    <n v="2.38"/>
    <x v="10"/>
    <s v="Delivered"/>
    <n v="4.9000000000000004"/>
  </r>
  <r>
    <s v="ORD100096"/>
    <d v="2026-07-20T00:00:00"/>
    <x v="2"/>
    <x v="0"/>
    <x v="2"/>
    <x v="2"/>
    <x v="53"/>
    <x v="0"/>
    <n v="5"/>
    <n v="355.43"/>
    <n v="2.62"/>
    <n v="0.89"/>
    <n v="0.82"/>
    <n v="0.27"/>
    <x v="80"/>
    <n v="8.9700000000000006"/>
    <n v="1.52"/>
    <x v="54"/>
    <s v="Delivered"/>
    <n v="5"/>
  </r>
  <r>
    <s v="ORD100097"/>
    <d v="2026-07-26T00:00:00"/>
    <x v="2"/>
    <x v="0"/>
    <x v="4"/>
    <x v="4"/>
    <x v="87"/>
    <x v="0"/>
    <n v="4"/>
    <n v="768.68"/>
    <n v="3.06"/>
    <n v="0.87"/>
    <n v="1.1000000000000001"/>
    <n v="0.63"/>
    <x v="81"/>
    <n v="10.37"/>
    <n v="1.18"/>
    <x v="10"/>
    <s v="Delivered"/>
    <n v="4.2"/>
  </r>
  <r>
    <s v="ORD100098"/>
    <d v="2026-08-04T00:00:00"/>
    <x v="3"/>
    <x v="1"/>
    <x v="6"/>
    <x v="6"/>
    <x v="88"/>
    <x v="1"/>
    <n v="6"/>
    <n v="451.2"/>
    <n v="3.13"/>
    <n v="0.82"/>
    <n v="2.17"/>
    <n v="1.01"/>
    <x v="82"/>
    <n v="14.76"/>
    <n v="3.01"/>
    <x v="55"/>
    <s v="Delivered"/>
    <n v="4.9000000000000004"/>
  </r>
  <r>
    <s v="ORD100099"/>
    <d v="2026-08-09T00:00:00"/>
    <x v="3"/>
    <x v="1"/>
    <x v="6"/>
    <x v="6"/>
    <x v="89"/>
    <x v="0"/>
    <n v="6"/>
    <n v="496.15"/>
    <n v="3.79"/>
    <n v="0.95"/>
    <n v="0.51"/>
    <n v="0.94"/>
    <x v="83"/>
    <n v="12.13"/>
    <n v="2.77"/>
    <x v="56"/>
    <s v="Delivered"/>
    <n v="4.9000000000000004"/>
  </r>
  <r>
    <s v="ORD100100"/>
    <d v="2026-08-06T00:00:00"/>
    <x v="3"/>
    <x v="1"/>
    <x v="1"/>
    <x v="1"/>
    <x v="90"/>
    <x v="0"/>
    <n v="6"/>
    <n v="365.5"/>
    <n v="3.1"/>
    <n v="0.98"/>
    <n v="0.87"/>
    <n v="1.45"/>
    <x v="84"/>
    <n v="10.92"/>
    <n v="1.48"/>
    <x v="57"/>
    <s v="Delivered"/>
    <n v="5"/>
  </r>
  <r>
    <s v="ORD100101"/>
    <d v="2026-07-20T00:00:00"/>
    <x v="2"/>
    <x v="1"/>
    <x v="1"/>
    <x v="1"/>
    <x v="91"/>
    <x v="0"/>
    <n v="3"/>
    <n v="120"/>
    <n v="2.21"/>
    <n v="0.73"/>
    <n v="1.29"/>
    <n v="0.74"/>
    <x v="85"/>
    <n v="12.11"/>
    <n v="3.01"/>
    <x v="20"/>
    <s v="Delivered"/>
    <n v="4.9000000000000004"/>
  </r>
  <r>
    <s v="ORD100102"/>
    <d v="2026-08-02T00:00:00"/>
    <x v="1"/>
    <x v="2"/>
    <x v="5"/>
    <x v="5"/>
    <x v="92"/>
    <x v="0"/>
    <n v="3"/>
    <n v="659.13"/>
    <n v="1.93"/>
    <n v="0.81"/>
    <n v="0.65"/>
    <n v="0.73"/>
    <x v="86"/>
    <n v="10.38"/>
    <n v="1.63"/>
    <x v="56"/>
    <s v="Delivered"/>
    <n v="5"/>
  </r>
  <r>
    <s v="ORD100103"/>
    <d v="2026-07-28T00:00:00"/>
    <x v="1"/>
    <x v="2"/>
    <x v="7"/>
    <x v="2"/>
    <x v="93"/>
    <x v="1"/>
    <n v="6"/>
    <n v="632.63"/>
    <n v="2.4900000000000002"/>
    <n v="0.93"/>
    <n v="1.73"/>
    <n v="1.21"/>
    <x v="87"/>
    <n v="13.87"/>
    <n v="2.68"/>
    <x v="0"/>
    <s v="Delivered"/>
    <n v="4.7"/>
  </r>
  <r>
    <s v="ORD100104"/>
    <d v="2026-07-25T00:00:00"/>
    <x v="2"/>
    <x v="1"/>
    <x v="1"/>
    <x v="1"/>
    <x v="72"/>
    <x v="0"/>
    <n v="3"/>
    <n v="449.36"/>
    <n v="1.91"/>
    <n v="0.92"/>
    <n v="1.03"/>
    <n v="0.76"/>
    <x v="88"/>
    <n v="11.14"/>
    <n v="2.94"/>
    <x v="47"/>
    <s v="Delivered"/>
    <n v="5"/>
  </r>
  <r>
    <s v="ORD100105"/>
    <d v="2026-07-30T00:00:00"/>
    <x v="1"/>
    <x v="2"/>
    <x v="5"/>
    <x v="5"/>
    <x v="94"/>
    <x v="0"/>
    <n v="2"/>
    <n v="512.05999999999995"/>
    <n v="2.33"/>
    <n v="0.71"/>
    <n v="1.26"/>
    <n v="0.87"/>
    <x v="89"/>
    <n v="11.5"/>
    <n v="2.17"/>
    <x v="58"/>
    <s v="Delivered"/>
    <n v="5"/>
  </r>
  <r>
    <s v="ORD100106"/>
    <d v="2026-07-27T00:00:00"/>
    <x v="1"/>
    <x v="0"/>
    <x v="4"/>
    <x v="4"/>
    <x v="95"/>
    <x v="1"/>
    <n v="7"/>
    <n v="592.87"/>
    <n v="3.52"/>
    <n v="1.1100000000000001"/>
    <n v="1.8"/>
    <n v="1.1499999999999999"/>
    <x v="0"/>
    <n v="14.21"/>
    <n v="2.86"/>
    <x v="9"/>
    <s v="Delivered"/>
    <n v="4.5"/>
  </r>
  <r>
    <s v="ORD100107"/>
    <d v="2026-08-02T00:00:00"/>
    <x v="1"/>
    <x v="0"/>
    <x v="0"/>
    <x v="0"/>
    <x v="96"/>
    <x v="1"/>
    <n v="5"/>
    <n v="218.74"/>
    <n v="2.35"/>
    <n v="0.91"/>
    <n v="1.68"/>
    <n v="1.41"/>
    <x v="90"/>
    <n v="13.08"/>
    <n v="1.99"/>
    <x v="7"/>
    <s v="Delivered"/>
    <n v="5"/>
  </r>
  <r>
    <s v="ORD100108"/>
    <d v="2026-08-05T00:00:00"/>
    <x v="3"/>
    <x v="0"/>
    <x v="4"/>
    <x v="4"/>
    <x v="26"/>
    <x v="0"/>
    <n v="4"/>
    <n v="404.77"/>
    <n v="2.99"/>
    <n v="0.89"/>
    <n v="1.61"/>
    <n v="0.71"/>
    <x v="91"/>
    <n v="11.77"/>
    <n v="2.02"/>
    <x v="59"/>
    <s v="Delivered"/>
    <n v="5"/>
  </r>
  <r>
    <s v="ORD100109"/>
    <d v="2026-08-07T00:00:00"/>
    <x v="3"/>
    <x v="1"/>
    <x v="1"/>
    <x v="1"/>
    <x v="97"/>
    <x v="0"/>
    <n v="6"/>
    <n v="642.97"/>
    <n v="2.95"/>
    <n v="1.1299999999999999"/>
    <n v="1.72"/>
    <n v="1"/>
    <x v="92"/>
    <n v="12.56"/>
    <n v="2.0099999999999998"/>
    <x v="24"/>
    <s v="Delivered"/>
    <n v="5"/>
  </r>
  <r>
    <s v="ORD100110"/>
    <d v="2026-08-06T00:00:00"/>
    <x v="3"/>
    <x v="1"/>
    <x v="6"/>
    <x v="6"/>
    <x v="98"/>
    <x v="0"/>
    <n v="6"/>
    <n v="274.23"/>
    <n v="3.17"/>
    <n v="0.93"/>
    <n v="1.45"/>
    <n v="0.74"/>
    <x v="49"/>
    <n v="12.09"/>
    <n v="1.53"/>
    <x v="12"/>
    <s v="Delivered"/>
    <n v="4.2"/>
  </r>
  <r>
    <s v="ORD100111"/>
    <d v="2026-08-09T00:00:00"/>
    <x v="3"/>
    <x v="0"/>
    <x v="0"/>
    <x v="0"/>
    <x v="99"/>
    <x v="0"/>
    <n v="2"/>
    <n v="552.84"/>
    <n v="2.8"/>
    <n v="0.63"/>
    <n v="1.1399999999999999"/>
    <n v="1.01"/>
    <x v="93"/>
    <n v="10.73"/>
    <n v="2.04"/>
    <x v="60"/>
    <s v="Delivered"/>
    <n v="4.3"/>
  </r>
  <r>
    <s v="ORD100112"/>
    <d v="2026-08-09T00:00:00"/>
    <x v="3"/>
    <x v="0"/>
    <x v="4"/>
    <x v="4"/>
    <x v="100"/>
    <x v="0"/>
    <n v="6"/>
    <n v="255.82"/>
    <n v="3.43"/>
    <n v="0.99"/>
    <n v="0.83"/>
    <n v="0.74"/>
    <x v="94"/>
    <n v="9.18"/>
    <n v="0.81"/>
    <x v="57"/>
    <s v="Delivered"/>
    <n v="5"/>
  </r>
  <r>
    <s v="ORD100113"/>
    <d v="2026-08-09T00:00:00"/>
    <x v="3"/>
    <x v="1"/>
    <x v="1"/>
    <x v="1"/>
    <x v="44"/>
    <x v="0"/>
    <n v="8"/>
    <n v="583.96"/>
    <n v="3.47"/>
    <n v="1.03"/>
    <n v="0.82"/>
    <n v="0.83"/>
    <x v="95"/>
    <n v="11.26"/>
    <n v="1.76"/>
    <x v="61"/>
    <s v="Delivered"/>
    <n v="4.9000000000000004"/>
  </r>
  <r>
    <s v="ORD100114"/>
    <d v="2026-07-25T00:00:00"/>
    <x v="2"/>
    <x v="2"/>
    <x v="7"/>
    <x v="2"/>
    <x v="101"/>
    <x v="0"/>
    <n v="6"/>
    <n v="493.58"/>
    <n v="2.81"/>
    <n v="0.93"/>
    <n v="1.05"/>
    <n v="0.62"/>
    <x v="96"/>
    <n v="11.69"/>
    <n v="1.94"/>
    <x v="19"/>
    <s v="Delivered"/>
    <n v="4.5"/>
  </r>
  <r>
    <s v="ORD100115"/>
    <d v="2026-07-21T00:00:00"/>
    <x v="2"/>
    <x v="0"/>
    <x v="2"/>
    <x v="2"/>
    <x v="102"/>
    <x v="0"/>
    <n v="5"/>
    <n v="209.28"/>
    <n v="2.15"/>
    <n v="0.89"/>
    <n v="1.37"/>
    <n v="0.85"/>
    <x v="97"/>
    <n v="10.18"/>
    <n v="1.97"/>
    <x v="8"/>
    <s v="Delivered"/>
    <n v="5"/>
  </r>
  <r>
    <s v="ORD100116"/>
    <d v="2026-07-27T00:00:00"/>
    <x v="1"/>
    <x v="1"/>
    <x v="3"/>
    <x v="3"/>
    <x v="103"/>
    <x v="0"/>
    <n v="5"/>
    <n v="709.65"/>
    <n v="2.65"/>
    <n v="1.05"/>
    <n v="1.83"/>
    <n v="0.96"/>
    <x v="98"/>
    <n v="10.7"/>
    <n v="1.98"/>
    <x v="40"/>
    <s v="Delivered"/>
    <n v="5"/>
  </r>
  <r>
    <s v="ORD100117"/>
    <d v="2026-07-25T00:00:00"/>
    <x v="2"/>
    <x v="2"/>
    <x v="7"/>
    <x v="2"/>
    <x v="104"/>
    <x v="0"/>
    <n v="1"/>
    <n v="367.77"/>
    <n v="1.95"/>
    <n v="0.66"/>
    <n v="1.1000000000000001"/>
    <n v="0.45"/>
    <x v="99"/>
    <n v="9.93"/>
    <n v="2.14"/>
    <x v="3"/>
    <s v="Delivered"/>
    <n v="5"/>
  </r>
  <r>
    <s v="ORD100118"/>
    <d v="2026-07-13T00:00:00"/>
    <x v="0"/>
    <x v="2"/>
    <x v="5"/>
    <x v="5"/>
    <x v="105"/>
    <x v="0"/>
    <n v="3"/>
    <n v="354.15"/>
    <n v="2.11"/>
    <n v="0.81"/>
    <n v="0.3"/>
    <n v="0.56000000000000005"/>
    <x v="100"/>
    <n v="10.86"/>
    <n v="2.63"/>
    <x v="13"/>
    <s v="Delivered"/>
    <n v="4.4000000000000004"/>
  </r>
  <r>
    <s v="ORD100119"/>
    <d v="2026-08-06T00:00:00"/>
    <x v="3"/>
    <x v="2"/>
    <x v="7"/>
    <x v="2"/>
    <x v="106"/>
    <x v="0"/>
    <n v="6"/>
    <n v="536.1"/>
    <n v="3.07"/>
    <n v="1.1299999999999999"/>
    <n v="1.48"/>
    <n v="0.78"/>
    <x v="101"/>
    <n v="14.45"/>
    <n v="2.99"/>
    <x v="62"/>
    <s v="Delivered"/>
    <n v="4.4000000000000004"/>
  </r>
  <r>
    <s v="ORD100120"/>
    <d v="2026-07-19T00:00:00"/>
    <x v="0"/>
    <x v="1"/>
    <x v="6"/>
    <x v="6"/>
    <x v="107"/>
    <x v="0"/>
    <n v="3"/>
    <n v="706.75"/>
    <n v="2.4900000000000002"/>
    <n v="0.77"/>
    <n v="0.4"/>
    <n v="0.32"/>
    <x v="102"/>
    <n v="8.94"/>
    <n v="1.62"/>
    <x v="11"/>
    <s v="Delivered"/>
    <n v="4.8"/>
  </r>
  <r>
    <s v="ORD100121"/>
    <d v="2026-07-21T00:00:00"/>
    <x v="2"/>
    <x v="0"/>
    <x v="2"/>
    <x v="2"/>
    <x v="108"/>
    <x v="0"/>
    <n v="6"/>
    <n v="317.14999999999998"/>
    <n v="3.04"/>
    <n v="1.08"/>
    <n v="1.0900000000000001"/>
    <n v="0.63"/>
    <x v="98"/>
    <n v="10.050000000000001"/>
    <n v="1.1200000000000001"/>
    <x v="13"/>
    <s v="Delivered"/>
    <n v="4.8"/>
  </r>
  <r>
    <s v="ORD100122"/>
    <d v="2026-08-05T00:00:00"/>
    <x v="3"/>
    <x v="0"/>
    <x v="4"/>
    <x v="4"/>
    <x v="109"/>
    <x v="0"/>
    <n v="1"/>
    <n v="511.1"/>
    <n v="1.79"/>
    <n v="0.62"/>
    <n v="1.2"/>
    <n v="0.85"/>
    <x v="103"/>
    <n v="9.75"/>
    <n v="1.26"/>
    <x v="45"/>
    <s v="Delivered"/>
    <n v="4.8"/>
  </r>
  <r>
    <s v="ORD100123"/>
    <d v="2026-07-13T00:00:00"/>
    <x v="0"/>
    <x v="0"/>
    <x v="4"/>
    <x v="4"/>
    <x v="110"/>
    <x v="1"/>
    <n v="3"/>
    <n v="577.19000000000005"/>
    <n v="2.52"/>
    <n v="0.82"/>
    <n v="2.35"/>
    <n v="1.24"/>
    <x v="104"/>
    <n v="12.07"/>
    <n v="2.0099999999999998"/>
    <x v="3"/>
    <s v="Delivered"/>
    <n v="4.5"/>
  </r>
  <r>
    <s v="ORD100124"/>
    <d v="2026-07-24T00:00:00"/>
    <x v="2"/>
    <x v="2"/>
    <x v="7"/>
    <x v="2"/>
    <x v="111"/>
    <x v="0"/>
    <n v="2"/>
    <n v="624.76"/>
    <n v="2.39"/>
    <n v="0.64"/>
    <n v="1.96"/>
    <n v="0.75"/>
    <x v="105"/>
    <n v="11.14"/>
    <n v="1.88"/>
    <x v="10"/>
    <s v="Delivered"/>
    <n v="4.3"/>
  </r>
  <r>
    <s v="ORD100125"/>
    <d v="2026-07-20T00:00:00"/>
    <x v="2"/>
    <x v="0"/>
    <x v="4"/>
    <x v="4"/>
    <x v="112"/>
    <x v="0"/>
    <n v="3"/>
    <n v="531.76"/>
    <n v="2.08"/>
    <n v="0.5"/>
    <n v="1.08"/>
    <n v="0.42"/>
    <x v="93"/>
    <n v="9.23"/>
    <n v="1.51"/>
    <x v="63"/>
    <s v="Delivered"/>
    <n v="5"/>
  </r>
  <r>
    <s v="ORD100126"/>
    <d v="2026-08-05T00:00:00"/>
    <x v="3"/>
    <x v="2"/>
    <x v="5"/>
    <x v="5"/>
    <x v="93"/>
    <x v="1"/>
    <n v="5"/>
    <n v="433.93"/>
    <n v="3.39"/>
    <n v="0.93"/>
    <n v="1.95"/>
    <n v="1.06"/>
    <x v="106"/>
    <n v="12.61"/>
    <n v="1.28"/>
    <x v="62"/>
    <s v="Delivered"/>
    <n v="4.4000000000000004"/>
  </r>
  <r>
    <s v="ORD100127"/>
    <d v="2026-07-23T00:00:00"/>
    <x v="2"/>
    <x v="2"/>
    <x v="7"/>
    <x v="2"/>
    <x v="113"/>
    <x v="0"/>
    <n v="4"/>
    <n v="351.03"/>
    <n v="2.65"/>
    <n v="1.04"/>
    <n v="1.06"/>
    <n v="0.85"/>
    <x v="107"/>
    <n v="10.79"/>
    <n v="1.79"/>
    <x v="50"/>
    <s v="Delivered"/>
    <n v="3.6"/>
  </r>
  <r>
    <s v="ORD100128"/>
    <d v="2026-07-31T00:00:00"/>
    <x v="1"/>
    <x v="2"/>
    <x v="7"/>
    <x v="2"/>
    <x v="114"/>
    <x v="0"/>
    <n v="5"/>
    <n v="515.51"/>
    <n v="2.91"/>
    <n v="1.06"/>
    <n v="1.3"/>
    <n v="1.17"/>
    <x v="72"/>
    <n v="12.82"/>
    <n v="2.36"/>
    <x v="27"/>
    <s v="Delivered"/>
    <n v="5"/>
  </r>
  <r>
    <s v="ORD100130"/>
    <d v="2026-07-20T00:00:00"/>
    <x v="2"/>
    <x v="1"/>
    <x v="1"/>
    <x v="1"/>
    <x v="115"/>
    <x v="0"/>
    <n v="8"/>
    <n v="120"/>
    <n v="3.64"/>
    <n v="1.34"/>
    <n v="1.5"/>
    <n v="0.33"/>
    <x v="1"/>
    <n v="11.78"/>
    <n v="1.7"/>
    <x v="64"/>
    <s v="Delivered"/>
    <n v="4.5999999999999996"/>
  </r>
  <r>
    <s v="ORD100131"/>
    <d v="2026-07-15T00:00:00"/>
    <x v="0"/>
    <x v="1"/>
    <x v="1"/>
    <x v="1"/>
    <x v="65"/>
    <x v="0"/>
    <n v="2"/>
    <n v="578.58000000000004"/>
    <n v="2.57"/>
    <n v="0.72"/>
    <n v="0.83"/>
    <n v="0.89"/>
    <x v="108"/>
    <n v="10.8"/>
    <n v="1.83"/>
    <x v="50"/>
    <s v="Delivered"/>
    <n v="4.9000000000000004"/>
  </r>
  <r>
    <s v="ORD100132"/>
    <d v="2026-07-15T00:00:00"/>
    <x v="0"/>
    <x v="2"/>
    <x v="5"/>
    <x v="5"/>
    <x v="116"/>
    <x v="0"/>
    <n v="5"/>
    <n v="662.71"/>
    <n v="3"/>
    <n v="0.97"/>
    <n v="0.92"/>
    <n v="0.62"/>
    <x v="46"/>
    <n v="9.7899999999999991"/>
    <n v="1.37"/>
    <x v="65"/>
    <s v="Delivered"/>
    <n v="4.5"/>
  </r>
  <r>
    <s v="ORD100133"/>
    <d v="2026-07-13T00:00:00"/>
    <x v="0"/>
    <x v="1"/>
    <x v="3"/>
    <x v="3"/>
    <x v="72"/>
    <x v="0"/>
    <n v="7"/>
    <n v="120"/>
    <n v="3.13"/>
    <n v="1.04"/>
    <n v="1.33"/>
    <n v="0.39"/>
    <x v="18"/>
    <n v="11.99"/>
    <n v="2.17"/>
    <x v="36"/>
    <s v="Delivered"/>
    <n v="5"/>
  </r>
  <r>
    <s v="ORD100134"/>
    <d v="2026-08-08T00:00:00"/>
    <x v="3"/>
    <x v="0"/>
    <x v="2"/>
    <x v="2"/>
    <x v="117"/>
    <x v="0"/>
    <n v="6"/>
    <n v="318.25"/>
    <n v="3.25"/>
    <n v="0.99"/>
    <n v="1.61"/>
    <n v="1.01"/>
    <x v="109"/>
    <n v="12.04"/>
    <n v="1.44"/>
    <x v="46"/>
    <s v="Delivered"/>
    <n v="5"/>
  </r>
  <r>
    <s v="ORD100135"/>
    <d v="2026-07-17T00:00:00"/>
    <x v="0"/>
    <x v="1"/>
    <x v="1"/>
    <x v="1"/>
    <x v="118"/>
    <x v="0"/>
    <n v="2"/>
    <n v="611.45000000000005"/>
    <n v="1.84"/>
    <n v="0.78"/>
    <n v="1.04"/>
    <n v="0.2"/>
    <x v="90"/>
    <n v="10.59"/>
    <n v="2.72"/>
    <x v="47"/>
    <s v="Delivered"/>
    <n v="5"/>
  </r>
  <r>
    <s v="ORD100136"/>
    <d v="2026-07-22T00:00:00"/>
    <x v="2"/>
    <x v="0"/>
    <x v="4"/>
    <x v="4"/>
    <x v="119"/>
    <x v="1"/>
    <n v="7"/>
    <n v="870.35"/>
    <n v="3.38"/>
    <n v="1.25"/>
    <n v="1.55"/>
    <n v="0.92"/>
    <x v="110"/>
    <n v="11.55"/>
    <n v="0.84"/>
    <x v="16"/>
    <s v="Delivered"/>
    <n v="5"/>
  </r>
  <r>
    <s v="ORD100137"/>
    <d v="2026-07-19T00:00:00"/>
    <x v="0"/>
    <x v="2"/>
    <x v="5"/>
    <x v="5"/>
    <x v="120"/>
    <x v="0"/>
    <n v="5"/>
    <n v="503.74"/>
    <n v="2.89"/>
    <n v="0.93"/>
    <n v="0.55000000000000004"/>
    <n v="0.61"/>
    <x v="12"/>
    <n v="10.06"/>
    <n v="1.88"/>
    <x v="14"/>
    <s v="Delivered"/>
    <n v="5"/>
  </r>
  <r>
    <s v="ORD100138"/>
    <d v="2026-08-07T00:00:00"/>
    <x v="3"/>
    <x v="2"/>
    <x v="5"/>
    <x v="5"/>
    <x v="121"/>
    <x v="0"/>
    <n v="8"/>
    <n v="368.96"/>
    <n v="3.49"/>
    <n v="1.1399999999999999"/>
    <n v="0.72"/>
    <n v="1.08"/>
    <x v="111"/>
    <n v="12.84"/>
    <n v="2.4700000000000002"/>
    <x v="4"/>
    <s v="Delivered"/>
    <n v="4.0999999999999996"/>
  </r>
  <r>
    <s v="ORD100139"/>
    <d v="2026-07-21T00:00:00"/>
    <x v="2"/>
    <x v="1"/>
    <x v="3"/>
    <x v="3"/>
    <x v="122"/>
    <x v="1"/>
    <n v="5"/>
    <n v="467.08"/>
    <n v="2.86"/>
    <n v="0.95"/>
    <n v="2.27"/>
    <n v="0.74"/>
    <x v="112"/>
    <n v="14.27"/>
    <n v="2.62"/>
    <x v="43"/>
    <s v="Delivered"/>
    <n v="4.3"/>
  </r>
  <r>
    <s v="ORD100140"/>
    <d v="2026-08-09T00:00:00"/>
    <x v="3"/>
    <x v="2"/>
    <x v="5"/>
    <x v="5"/>
    <x v="123"/>
    <x v="1"/>
    <n v="6"/>
    <n v="747.48"/>
    <n v="2.46"/>
    <n v="1.1000000000000001"/>
    <n v="2.2799999999999998"/>
    <n v="1.18"/>
    <x v="113"/>
    <n v="17.7"/>
    <n v="4.87"/>
    <x v="51"/>
    <s v="Delivered"/>
    <n v="4.0999999999999996"/>
  </r>
  <r>
    <s v="ORD100141"/>
    <d v="2026-07-19T00:00:00"/>
    <x v="0"/>
    <x v="0"/>
    <x v="0"/>
    <x v="0"/>
    <x v="124"/>
    <x v="0"/>
    <n v="7"/>
    <n v="383.73"/>
    <n v="3.15"/>
    <n v="0.94"/>
    <n v="0.91"/>
    <n v="0.38"/>
    <x v="114"/>
    <n v="11.65"/>
    <n v="2.5099999999999998"/>
    <x v="58"/>
    <s v="Delivered"/>
    <n v="4.5999999999999996"/>
  </r>
  <r>
    <s v="ORD100142"/>
    <d v="2026-07-21T00:00:00"/>
    <x v="2"/>
    <x v="1"/>
    <x v="3"/>
    <x v="3"/>
    <x v="125"/>
    <x v="0"/>
    <n v="5"/>
    <n v="356.15"/>
    <n v="2.93"/>
    <n v="0.67"/>
    <n v="1.81"/>
    <n v="0.72"/>
    <x v="8"/>
    <n v="10.97"/>
    <n v="1.3"/>
    <x v="47"/>
    <s v="Delivered"/>
    <n v="4.8"/>
  </r>
  <r>
    <s v="ORD100143"/>
    <d v="2026-07-20T00:00:00"/>
    <x v="2"/>
    <x v="0"/>
    <x v="0"/>
    <x v="0"/>
    <x v="126"/>
    <x v="0"/>
    <n v="6"/>
    <n v="413.11"/>
    <n v="3.18"/>
    <n v="0.96"/>
    <n v="0.87"/>
    <n v="0.51"/>
    <x v="40"/>
    <n v="11.88"/>
    <n v="2.11"/>
    <x v="31"/>
    <s v="Delivered"/>
    <n v="4.7"/>
  </r>
  <r>
    <s v="ORD100144"/>
    <d v="2026-07-24T00:00:00"/>
    <x v="2"/>
    <x v="0"/>
    <x v="0"/>
    <x v="0"/>
    <x v="127"/>
    <x v="0"/>
    <n v="2"/>
    <n v="328.4"/>
    <n v="1.88"/>
    <n v="0.56000000000000005"/>
    <n v="1.1000000000000001"/>
    <n v="0.6"/>
    <x v="70"/>
    <n v="7.14"/>
    <n v="0.6"/>
    <x v="51"/>
    <s v="Delivered"/>
    <n v="5"/>
  </r>
  <r>
    <s v="ORD100145"/>
    <d v="2026-07-14T00:00:00"/>
    <x v="0"/>
    <x v="1"/>
    <x v="3"/>
    <x v="3"/>
    <x v="128"/>
    <x v="0"/>
    <n v="5"/>
    <n v="522.08000000000004"/>
    <n v="3.34"/>
    <n v="0.89"/>
    <n v="0.72"/>
    <n v="0.37"/>
    <x v="6"/>
    <n v="11.96"/>
    <n v="2.13"/>
    <x v="42"/>
    <s v="Delivered"/>
    <n v="4.8"/>
  </r>
  <r>
    <s v="ORD100146"/>
    <d v="2026-07-13T00:00:00"/>
    <x v="0"/>
    <x v="0"/>
    <x v="2"/>
    <x v="2"/>
    <x v="83"/>
    <x v="0"/>
    <n v="4"/>
    <n v="792.44"/>
    <n v="2.38"/>
    <n v="0.85"/>
    <n v="0.96"/>
    <n v="0.67"/>
    <x v="115"/>
    <n v="9.6199999999999992"/>
    <n v="1.45"/>
    <x v="26"/>
    <s v="Delivered"/>
    <n v="4.5999999999999996"/>
  </r>
  <r>
    <s v="ORD100147"/>
    <d v="2026-07-28T00:00:00"/>
    <x v="1"/>
    <x v="1"/>
    <x v="3"/>
    <x v="3"/>
    <x v="66"/>
    <x v="0"/>
    <n v="2"/>
    <n v="558.15"/>
    <n v="2.58"/>
    <n v="0.66"/>
    <n v="1.58"/>
    <n v="0.94"/>
    <x v="116"/>
    <n v="13.38"/>
    <n v="3.02"/>
    <x v="6"/>
    <s v="Delivered"/>
    <n v="4.3"/>
  </r>
  <r>
    <s v="ORD100148"/>
    <d v="2026-08-04T00:00:00"/>
    <x v="3"/>
    <x v="1"/>
    <x v="3"/>
    <x v="3"/>
    <x v="29"/>
    <x v="0"/>
    <n v="8"/>
    <n v="454.58"/>
    <n v="3.71"/>
    <n v="1.36"/>
    <n v="1.76"/>
    <n v="0.87"/>
    <x v="117"/>
    <n v="13.71"/>
    <n v="1.71"/>
    <x v="45"/>
    <s v="Delivered"/>
    <n v="4"/>
  </r>
  <r>
    <s v="ORD100149"/>
    <d v="2026-08-04T00:00:00"/>
    <x v="3"/>
    <x v="1"/>
    <x v="6"/>
    <x v="6"/>
    <x v="41"/>
    <x v="1"/>
    <n v="3"/>
    <n v="447.47"/>
    <n v="2.23"/>
    <n v="0.83"/>
    <n v="1.91"/>
    <n v="1.17"/>
    <x v="118"/>
    <n v="12.06"/>
    <n v="2.34"/>
    <x v="24"/>
    <s v="Delivered"/>
    <n v="5"/>
  </r>
  <r>
    <s v="ORD100151"/>
    <d v="2026-07-17T00:00:00"/>
    <x v="0"/>
    <x v="1"/>
    <x v="1"/>
    <x v="1"/>
    <x v="129"/>
    <x v="0"/>
    <n v="5"/>
    <n v="658.96"/>
    <n v="2.48"/>
    <n v="1.02"/>
    <n v="0.3"/>
    <n v="0.5"/>
    <x v="119"/>
    <n v="12.67"/>
    <n v="3.76"/>
    <x v="43"/>
    <s v="Delivered"/>
    <n v="5"/>
  </r>
  <r>
    <s v="ORD100152"/>
    <d v="2026-07-15T00:00:00"/>
    <x v="0"/>
    <x v="0"/>
    <x v="2"/>
    <x v="2"/>
    <x v="130"/>
    <x v="0"/>
    <n v="4"/>
    <n v="485.99"/>
    <n v="3"/>
    <n v="0.73"/>
    <n v="0.98"/>
    <n v="0.54"/>
    <x v="120"/>
    <n v="10.48"/>
    <n v="1.91"/>
    <x v="53"/>
    <s v="Delivered"/>
    <n v="5"/>
  </r>
  <r>
    <s v="ORD100153"/>
    <d v="2026-07-24T00:00:00"/>
    <x v="2"/>
    <x v="0"/>
    <x v="0"/>
    <x v="0"/>
    <x v="131"/>
    <x v="0"/>
    <n v="8"/>
    <n v="467.51"/>
    <n v="3.91"/>
    <n v="1.31"/>
    <n v="1.18"/>
    <n v="1.1399999999999999"/>
    <x v="121"/>
    <n v="17.16"/>
    <n v="3.85"/>
    <x v="54"/>
    <s v="Delivered"/>
    <n v="4"/>
  </r>
  <r>
    <s v="ORD100154"/>
    <d v="2026-07-20T00:00:00"/>
    <x v="2"/>
    <x v="0"/>
    <x v="0"/>
    <x v="0"/>
    <x v="71"/>
    <x v="0"/>
    <n v="2"/>
    <n v="1074.76"/>
    <n v="2.0099999999999998"/>
    <n v="0.7"/>
    <n v="1.07"/>
    <n v="0.47"/>
    <x v="122"/>
    <n v="11.02"/>
    <n v="2.93"/>
    <x v="64"/>
    <s v="Delivered"/>
    <n v="3.7"/>
  </r>
  <r>
    <s v="ORD100155"/>
    <d v="2026-08-03T00:00:00"/>
    <x v="3"/>
    <x v="2"/>
    <x v="7"/>
    <x v="2"/>
    <x v="132"/>
    <x v="0"/>
    <n v="5"/>
    <n v="553.78"/>
    <n v="3.39"/>
    <n v="1.03"/>
    <n v="1.29"/>
    <n v="1.17"/>
    <x v="123"/>
    <n v="13.35"/>
    <n v="2.63"/>
    <x v="57"/>
    <s v="Delivered"/>
    <n v="4.4000000000000004"/>
  </r>
  <r>
    <s v="ORD100156"/>
    <d v="2026-08-08T00:00:00"/>
    <x v="3"/>
    <x v="0"/>
    <x v="4"/>
    <x v="4"/>
    <x v="133"/>
    <x v="0"/>
    <n v="8"/>
    <n v="364.68"/>
    <n v="3.47"/>
    <n v="1.06"/>
    <n v="1.1299999999999999"/>
    <n v="1.0900000000000001"/>
    <x v="90"/>
    <n v="13.48"/>
    <n v="2.5299999999999998"/>
    <x v="61"/>
    <s v="Delivered"/>
    <n v="4.5999999999999996"/>
  </r>
  <r>
    <s v="ORD100157"/>
    <d v="2026-07-15T00:00:00"/>
    <x v="0"/>
    <x v="0"/>
    <x v="0"/>
    <x v="0"/>
    <x v="134"/>
    <x v="0"/>
    <n v="5"/>
    <n v="423.26"/>
    <n v="3"/>
    <n v="0.76"/>
    <n v="0.75"/>
    <n v="0.6"/>
    <x v="124"/>
    <n v="11.1"/>
    <n v="2.5499999999999998"/>
    <x v="6"/>
    <s v="Delivered"/>
    <n v="4.4000000000000004"/>
  </r>
  <r>
    <s v="ORD100158"/>
    <d v="2026-07-13T00:00:00"/>
    <x v="0"/>
    <x v="1"/>
    <x v="6"/>
    <x v="6"/>
    <x v="135"/>
    <x v="0"/>
    <n v="7"/>
    <n v="706.72"/>
    <n v="3.43"/>
    <n v="1.21"/>
    <n v="0.52"/>
    <n v="0.87"/>
    <x v="125"/>
    <n v="9.24"/>
    <n v="0.47"/>
    <x v="9"/>
    <s v="Delivered"/>
    <n v="4.9000000000000004"/>
  </r>
  <r>
    <s v="ORD100159"/>
    <d v="2026-07-15T00:00:00"/>
    <x v="0"/>
    <x v="1"/>
    <x v="1"/>
    <x v="1"/>
    <x v="136"/>
    <x v="0"/>
    <n v="4"/>
    <n v="520.39"/>
    <n v="2.63"/>
    <n v="0.92"/>
    <n v="0.99"/>
    <n v="0.62"/>
    <x v="71"/>
    <n v="11.06"/>
    <n v="1.95"/>
    <x v="42"/>
    <s v="Delivered"/>
    <n v="5"/>
  </r>
  <r>
    <s v="ORD100160"/>
    <d v="2026-07-17T00:00:00"/>
    <x v="0"/>
    <x v="0"/>
    <x v="0"/>
    <x v="0"/>
    <x v="137"/>
    <x v="0"/>
    <n v="9"/>
    <n v="241.11"/>
    <n v="4.0599999999999996"/>
    <n v="1.1599999999999999"/>
    <n v="0.9"/>
    <n v="0.62"/>
    <x v="20"/>
    <n v="13.84"/>
    <n v="2.96"/>
    <x v="66"/>
    <s v="Delivered"/>
    <n v="4.8"/>
  </r>
  <r>
    <s v="ORD100161"/>
    <d v="2026-07-27T00:00:00"/>
    <x v="1"/>
    <x v="1"/>
    <x v="6"/>
    <x v="6"/>
    <x v="138"/>
    <x v="0"/>
    <n v="7"/>
    <n v="665.46"/>
    <n v="3.62"/>
    <n v="1.01"/>
    <n v="1.1599999999999999"/>
    <n v="0.78"/>
    <x v="126"/>
    <n v="12.57"/>
    <n v="2.16"/>
    <x v="67"/>
    <s v="Delivered"/>
    <n v="4.3"/>
  </r>
  <r>
    <s v="ORD100162"/>
    <d v="2026-07-26T00:00:00"/>
    <x v="2"/>
    <x v="0"/>
    <x v="4"/>
    <x v="4"/>
    <x v="139"/>
    <x v="1"/>
    <n v="2"/>
    <n v="379.73"/>
    <n v="1.63"/>
    <n v="0.85"/>
    <n v="1.59"/>
    <n v="1.1399999999999999"/>
    <x v="127"/>
    <n v="9.81"/>
    <n v="1.19"/>
    <x v="50"/>
    <s v="Delivered"/>
    <n v="4.3"/>
  </r>
  <r>
    <s v="ORD100163"/>
    <d v="2026-07-15T00:00:00"/>
    <x v="0"/>
    <x v="1"/>
    <x v="3"/>
    <x v="3"/>
    <x v="140"/>
    <x v="1"/>
    <n v="5"/>
    <n v="837.19"/>
    <n v="3.36"/>
    <n v="0.81"/>
    <n v="1.25"/>
    <n v="1"/>
    <x v="83"/>
    <n v="12.36"/>
    <n v="2.4"/>
    <x v="7"/>
    <s v="Delivered"/>
    <n v="4.5999999999999996"/>
  </r>
  <r>
    <s v="ORD100164"/>
    <d v="2026-07-13T00:00:00"/>
    <x v="0"/>
    <x v="2"/>
    <x v="5"/>
    <x v="5"/>
    <x v="141"/>
    <x v="1"/>
    <n v="4"/>
    <n v="694.41"/>
    <n v="2.1"/>
    <n v="1.07"/>
    <n v="2.0299999999999998"/>
    <n v="0.69"/>
    <x v="128"/>
    <n v="15.29"/>
    <n v="3.98"/>
    <x v="68"/>
    <s v="Delivered"/>
    <n v="4.3"/>
  </r>
  <r>
    <s v="ORD100165"/>
    <d v="2026-07-17T00:00:00"/>
    <x v="0"/>
    <x v="2"/>
    <x v="5"/>
    <x v="5"/>
    <x v="142"/>
    <x v="0"/>
    <n v="4"/>
    <n v="419.48"/>
    <n v="3.04"/>
    <n v="0.76"/>
    <n v="0.57999999999999996"/>
    <n v="0.31"/>
    <x v="129"/>
    <n v="13.5"/>
    <n v="3.32"/>
    <x v="48"/>
    <s v="Delivered"/>
    <n v="4.8"/>
  </r>
  <r>
    <s v="ORD100166"/>
    <d v="2026-08-07T00:00:00"/>
    <x v="3"/>
    <x v="0"/>
    <x v="2"/>
    <x v="2"/>
    <x v="143"/>
    <x v="0"/>
    <n v="6"/>
    <n v="730.58"/>
    <n v="3.51"/>
    <n v="1.1100000000000001"/>
    <n v="1.1599999999999999"/>
    <n v="0.87"/>
    <x v="74"/>
    <n v="12.68"/>
    <n v="2.14"/>
    <x v="24"/>
    <s v="Delivered"/>
    <n v="4.4000000000000004"/>
  </r>
  <r>
    <s v="ORD100167"/>
    <d v="2026-08-04T00:00:00"/>
    <x v="3"/>
    <x v="1"/>
    <x v="6"/>
    <x v="6"/>
    <x v="144"/>
    <x v="0"/>
    <n v="5"/>
    <n v="512.21"/>
    <n v="2.52"/>
    <n v="0.91"/>
    <n v="1.35"/>
    <n v="0.77"/>
    <x v="130"/>
    <n v="13.12"/>
    <n v="3.06"/>
    <x v="41"/>
    <s v="Delivered"/>
    <n v="4.9000000000000004"/>
  </r>
  <r>
    <s v="ORD100168"/>
    <d v="2026-07-26T00:00:00"/>
    <x v="2"/>
    <x v="1"/>
    <x v="6"/>
    <x v="6"/>
    <x v="145"/>
    <x v="0"/>
    <n v="6"/>
    <n v="653.5"/>
    <n v="2.98"/>
    <n v="1.1000000000000001"/>
    <n v="0.73"/>
    <n v="0.66"/>
    <x v="60"/>
    <n v="11.45"/>
    <n v="1.87"/>
    <x v="51"/>
    <s v="Delivered"/>
    <n v="5"/>
  </r>
  <r>
    <s v="ORD100169"/>
    <d v="2026-07-19T00:00:00"/>
    <x v="0"/>
    <x v="2"/>
    <x v="7"/>
    <x v="2"/>
    <x v="141"/>
    <x v="1"/>
    <n v="2"/>
    <n v="587.25"/>
    <n v="1.85"/>
    <n v="0.64"/>
    <n v="2.02"/>
    <n v="1.02"/>
    <x v="131"/>
    <n v="9.31"/>
    <n v="0.92"/>
    <x v="16"/>
    <s v="Delivered"/>
    <n v="5"/>
  </r>
  <r>
    <s v="ORD100170"/>
    <d v="2026-08-08T00:00:00"/>
    <x v="3"/>
    <x v="2"/>
    <x v="5"/>
    <x v="5"/>
    <x v="146"/>
    <x v="0"/>
    <n v="5"/>
    <n v="347.66"/>
    <n v="2.82"/>
    <n v="0.93"/>
    <n v="1.33"/>
    <n v="0.83"/>
    <x v="92"/>
    <n v="11.67"/>
    <n v="1.37"/>
    <x v="30"/>
    <s v="Delivered"/>
    <n v="4.8"/>
  </r>
  <r>
    <s v="ORD100171"/>
    <d v="2026-07-21T00:00:00"/>
    <x v="2"/>
    <x v="1"/>
    <x v="6"/>
    <x v="6"/>
    <x v="147"/>
    <x v="0"/>
    <n v="4"/>
    <n v="384.16"/>
    <n v="2.57"/>
    <n v="0.87"/>
    <n v="1.1100000000000001"/>
    <n v="0.66"/>
    <x v="132"/>
    <n v="13.62"/>
    <n v="3.61"/>
    <x v="16"/>
    <s v="Delivered"/>
    <n v="4.5"/>
  </r>
  <r>
    <s v="ORD100172"/>
    <d v="2026-07-27T00:00:00"/>
    <x v="1"/>
    <x v="0"/>
    <x v="2"/>
    <x v="2"/>
    <x v="148"/>
    <x v="1"/>
    <n v="4"/>
    <n v="685.39"/>
    <n v="2.95"/>
    <n v="0.75"/>
    <n v="1.76"/>
    <n v="1.05"/>
    <x v="133"/>
    <n v="13.87"/>
    <n v="2.2000000000000002"/>
    <x v="64"/>
    <s v="Delivered"/>
    <n v="4.4000000000000004"/>
  </r>
  <r>
    <s v="ORD100173"/>
    <d v="2026-07-27T00:00:00"/>
    <x v="1"/>
    <x v="1"/>
    <x v="3"/>
    <x v="3"/>
    <x v="149"/>
    <x v="0"/>
    <n v="6"/>
    <n v="439.74"/>
    <n v="3.58"/>
    <n v="1.1200000000000001"/>
    <n v="1.76"/>
    <n v="0.94"/>
    <x v="134"/>
    <n v="12.77"/>
    <n v="1.98"/>
    <x v="69"/>
    <s v="Delivered"/>
    <n v="5"/>
  </r>
  <r>
    <s v="ORD100174"/>
    <d v="2026-08-07T00:00:00"/>
    <x v="3"/>
    <x v="1"/>
    <x v="6"/>
    <x v="6"/>
    <x v="150"/>
    <x v="0"/>
    <n v="3"/>
    <n v="427.34"/>
    <n v="2.95"/>
    <n v="0.73"/>
    <n v="1.2"/>
    <n v="0.51"/>
    <x v="135"/>
    <n v="12.08"/>
    <n v="1.93"/>
    <x v="52"/>
    <s v="Delivered"/>
    <n v="4.5"/>
  </r>
  <r>
    <s v="ORD100175"/>
    <d v="2026-07-22T00:00:00"/>
    <x v="2"/>
    <x v="1"/>
    <x v="6"/>
    <x v="6"/>
    <x v="151"/>
    <x v="0"/>
    <n v="4"/>
    <n v="328.08"/>
    <n v="2.48"/>
    <n v="0.84"/>
    <n v="0.74"/>
    <n v="0.56000000000000005"/>
    <x v="136"/>
    <n v="13.81"/>
    <n v="3.91"/>
    <x v="55"/>
    <s v="Delivered"/>
    <n v="4.5999999999999996"/>
  </r>
  <r>
    <s v="ORD100176"/>
    <d v="2026-08-09T00:00:00"/>
    <x v="3"/>
    <x v="1"/>
    <x v="1"/>
    <x v="1"/>
    <x v="152"/>
    <x v="0"/>
    <n v="7"/>
    <n v="576.25"/>
    <n v="3.27"/>
    <n v="0.99"/>
    <n v="1.1599999999999999"/>
    <n v="0.95"/>
    <x v="44"/>
    <n v="15.05"/>
    <n v="3.66"/>
    <x v="24"/>
    <s v="Delivered"/>
    <n v="4.4000000000000004"/>
  </r>
  <r>
    <s v="ORD100177"/>
    <d v="2026-07-25T00:00:00"/>
    <x v="2"/>
    <x v="2"/>
    <x v="7"/>
    <x v="2"/>
    <x v="3"/>
    <x v="0"/>
    <n v="7"/>
    <n v="871.25"/>
    <n v="2.75"/>
    <n v="0.8"/>
    <n v="0.3"/>
    <n v="0.89"/>
    <x v="137"/>
    <n v="14.08"/>
    <n v="4.2"/>
    <x v="36"/>
    <s v="Delivered"/>
    <n v="4.3"/>
  </r>
  <r>
    <s v="ORD100178"/>
    <d v="2026-07-31T00:00:00"/>
    <x v="1"/>
    <x v="0"/>
    <x v="0"/>
    <x v="0"/>
    <x v="153"/>
    <x v="0"/>
    <n v="6"/>
    <n v="307.83999999999997"/>
    <n v="2.84"/>
    <n v="1.01"/>
    <n v="1.1299999999999999"/>
    <n v="0.7"/>
    <x v="92"/>
    <n v="11.44"/>
    <n v="2.06"/>
    <x v="18"/>
    <s v="Delivered"/>
    <n v="4.2"/>
  </r>
  <r>
    <s v="ORD100179"/>
    <d v="2026-07-19T00:00:00"/>
    <x v="0"/>
    <x v="1"/>
    <x v="1"/>
    <x v="1"/>
    <x v="154"/>
    <x v="0"/>
    <n v="6"/>
    <n v="504.36"/>
    <n v="3.46"/>
    <n v="1.32"/>
    <n v="0.39"/>
    <n v="0.21"/>
    <x v="17"/>
    <n v="12.57"/>
    <n v="2.4700000000000002"/>
    <x v="59"/>
    <s v="Delivered"/>
    <n v="4.8"/>
  </r>
  <r>
    <s v="ORD100180"/>
    <d v="2026-07-29T00:00:00"/>
    <x v="1"/>
    <x v="0"/>
    <x v="2"/>
    <x v="2"/>
    <x v="155"/>
    <x v="0"/>
    <n v="6"/>
    <n v="754.2"/>
    <n v="3.69"/>
    <n v="1.1200000000000001"/>
    <n v="0.87"/>
    <n v="0.9"/>
    <x v="138"/>
    <n v="10.66"/>
    <n v="0.84"/>
    <x v="62"/>
    <s v="Delivered"/>
    <n v="4.9000000000000004"/>
  </r>
  <r>
    <s v="ORD100182"/>
    <d v="2026-07-16T00:00:00"/>
    <x v="0"/>
    <x v="2"/>
    <x v="5"/>
    <x v="5"/>
    <x v="156"/>
    <x v="1"/>
    <n v="6"/>
    <n v="581.42999999999995"/>
    <n v="2.91"/>
    <n v="1"/>
    <n v="2.04"/>
    <n v="0.59"/>
    <x v="139"/>
    <n v="11.15"/>
    <n v="1.4"/>
    <x v="48"/>
    <s v="Delivered"/>
    <n v="4.5999999999999996"/>
  </r>
  <r>
    <s v="ORD100183"/>
    <d v="2026-07-17T00:00:00"/>
    <x v="0"/>
    <x v="1"/>
    <x v="6"/>
    <x v="6"/>
    <x v="157"/>
    <x v="0"/>
    <n v="6"/>
    <n v="308.77"/>
    <n v="3.11"/>
    <n v="1.03"/>
    <n v="0.53"/>
    <n v="0.44"/>
    <x v="140"/>
    <n v="11.43"/>
    <n v="2.4"/>
    <x v="46"/>
    <s v="Delivered"/>
    <n v="5"/>
  </r>
  <r>
    <s v="ORD100184"/>
    <d v="2026-08-04T00:00:00"/>
    <x v="3"/>
    <x v="1"/>
    <x v="3"/>
    <x v="3"/>
    <x v="158"/>
    <x v="0"/>
    <n v="5"/>
    <n v="577.1"/>
    <n v="3"/>
    <n v="1.02"/>
    <n v="2"/>
    <n v="0.88"/>
    <x v="141"/>
    <n v="11.65"/>
    <n v="1.21"/>
    <x v="32"/>
    <s v="Delivered"/>
    <n v="4.4000000000000004"/>
  </r>
  <r>
    <s v="ORD100185"/>
    <d v="2026-07-19T00:00:00"/>
    <x v="0"/>
    <x v="1"/>
    <x v="1"/>
    <x v="1"/>
    <x v="159"/>
    <x v="0"/>
    <n v="4"/>
    <n v="466.31"/>
    <n v="2.4"/>
    <n v="0.73"/>
    <n v="0.56000000000000005"/>
    <n v="0.44"/>
    <x v="142"/>
    <n v="9.39"/>
    <n v="1.67"/>
    <x v="32"/>
    <s v="Delivered"/>
    <n v="5"/>
  </r>
  <r>
    <s v="ORD100186"/>
    <d v="2026-07-25T00:00:00"/>
    <x v="2"/>
    <x v="1"/>
    <x v="6"/>
    <x v="6"/>
    <x v="160"/>
    <x v="0"/>
    <n v="3"/>
    <n v="677.43"/>
    <n v="2.61"/>
    <n v="0.92"/>
    <n v="0.3"/>
    <n v="0.27"/>
    <x v="143"/>
    <n v="9.7200000000000006"/>
    <n v="1.45"/>
    <x v="15"/>
    <s v="Delivered"/>
    <n v="4.2"/>
  </r>
  <r>
    <s v="ORD100187"/>
    <d v="2026-07-27T00:00:00"/>
    <x v="1"/>
    <x v="1"/>
    <x v="6"/>
    <x v="6"/>
    <x v="161"/>
    <x v="0"/>
    <n v="4"/>
    <n v="713.73"/>
    <n v="2.5099999999999998"/>
    <n v="0.96"/>
    <n v="0.6"/>
    <n v="0.95"/>
    <x v="144"/>
    <n v="9.1999999999999993"/>
    <n v="1.65"/>
    <x v="61"/>
    <s v="Delivered"/>
    <n v="5"/>
  </r>
  <r>
    <s v="ORD100188"/>
    <d v="2026-07-23T00:00:00"/>
    <x v="2"/>
    <x v="0"/>
    <x v="2"/>
    <x v="2"/>
    <x v="162"/>
    <x v="0"/>
    <n v="4"/>
    <n v="966.12"/>
    <n v="2.67"/>
    <n v="0.96"/>
    <n v="1.65"/>
    <n v="0.9"/>
    <x v="145"/>
    <n v="11.61"/>
    <n v="1.71"/>
    <x v="22"/>
    <s v="Delivered"/>
    <n v="5"/>
  </r>
  <r>
    <s v="ORD100189"/>
    <d v="2026-07-16T00:00:00"/>
    <x v="0"/>
    <x v="1"/>
    <x v="1"/>
    <x v="1"/>
    <x v="163"/>
    <x v="0"/>
    <n v="6"/>
    <n v="604.33000000000004"/>
    <n v="3.31"/>
    <n v="1.08"/>
    <n v="0.7"/>
    <n v="0.67"/>
    <x v="50"/>
    <n v="10.11"/>
    <n v="1.71"/>
    <x v="48"/>
    <s v="Delivered"/>
    <n v="4.5999999999999996"/>
  </r>
  <r>
    <s v="ORD100190"/>
    <d v="2026-07-25T00:00:00"/>
    <x v="2"/>
    <x v="1"/>
    <x v="1"/>
    <x v="1"/>
    <x v="164"/>
    <x v="0"/>
    <n v="7"/>
    <n v="558.64"/>
    <n v="3.34"/>
    <n v="1.1100000000000001"/>
    <n v="0.68"/>
    <n v="0.47"/>
    <x v="146"/>
    <n v="13.29"/>
    <n v="2.95"/>
    <x v="40"/>
    <s v="Delivered"/>
    <n v="4.8"/>
  </r>
  <r>
    <s v="ORD100191"/>
    <d v="2026-07-19T00:00:00"/>
    <x v="0"/>
    <x v="1"/>
    <x v="3"/>
    <x v="3"/>
    <x v="165"/>
    <x v="0"/>
    <n v="5"/>
    <n v="534.99"/>
    <n v="2.75"/>
    <n v="1.03"/>
    <n v="1.1599999999999999"/>
    <n v="0.51"/>
    <x v="84"/>
    <n v="9.9700000000000006"/>
    <n v="1.21"/>
    <x v="37"/>
    <s v="Delivered"/>
    <n v="5"/>
  </r>
  <r>
    <s v="ORD100192"/>
    <d v="2026-08-08T00:00:00"/>
    <x v="3"/>
    <x v="1"/>
    <x v="3"/>
    <x v="3"/>
    <x v="166"/>
    <x v="0"/>
    <n v="4"/>
    <n v="436.43"/>
    <n v="2.64"/>
    <n v="0.94"/>
    <n v="1.64"/>
    <n v="0.91"/>
    <x v="147"/>
    <n v="12.78"/>
    <n v="2.4"/>
    <x v="32"/>
    <s v="Delivered"/>
    <n v="3.7"/>
  </r>
  <r>
    <s v="ORD100193"/>
    <d v="2026-07-31T00:00:00"/>
    <x v="1"/>
    <x v="1"/>
    <x v="6"/>
    <x v="6"/>
    <x v="167"/>
    <x v="0"/>
    <n v="6"/>
    <n v="560.92999999999995"/>
    <n v="3.09"/>
    <n v="0.99"/>
    <n v="1.38"/>
    <n v="0.9"/>
    <x v="148"/>
    <n v="13.7"/>
    <n v="3.3"/>
    <x v="64"/>
    <s v="Delivered"/>
    <n v="4.8"/>
  </r>
  <r>
    <s v="ORD100195"/>
    <d v="2026-08-09T00:00:00"/>
    <x v="3"/>
    <x v="1"/>
    <x v="6"/>
    <x v="6"/>
    <x v="168"/>
    <x v="0"/>
    <n v="6"/>
    <n v="530.32000000000005"/>
    <n v="3.03"/>
    <n v="1.04"/>
    <n v="0.98"/>
    <n v="0.78"/>
    <x v="149"/>
    <n v="11.51"/>
    <n v="1.55"/>
    <x v="69"/>
    <s v="Delivered"/>
    <n v="4.4000000000000004"/>
  </r>
  <r>
    <s v="ORD100196"/>
    <d v="2026-07-14T00:00:00"/>
    <x v="0"/>
    <x v="1"/>
    <x v="6"/>
    <x v="6"/>
    <x v="169"/>
    <x v="0"/>
    <n v="4"/>
    <n v="737.17"/>
    <n v="3.24"/>
    <n v="1.06"/>
    <n v="0.3"/>
    <n v="0.56000000000000005"/>
    <x v="150"/>
    <n v="11.27"/>
    <n v="1.99"/>
    <x v="60"/>
    <s v="Delivered"/>
    <n v="5"/>
  </r>
  <r>
    <s v="ORD100197"/>
    <d v="2026-07-22T00:00:00"/>
    <x v="2"/>
    <x v="1"/>
    <x v="6"/>
    <x v="6"/>
    <x v="170"/>
    <x v="0"/>
    <n v="6"/>
    <n v="318.82"/>
    <n v="3.32"/>
    <n v="0.88"/>
    <n v="0.73"/>
    <n v="0.75"/>
    <x v="151"/>
    <n v="13.36"/>
    <n v="3.26"/>
    <x v="36"/>
    <s v="Delivered"/>
    <n v="4.3"/>
  </r>
  <r>
    <s v="ORD100199"/>
    <d v="2026-08-06T00:00:00"/>
    <x v="3"/>
    <x v="1"/>
    <x v="1"/>
    <x v="1"/>
    <x v="171"/>
    <x v="0"/>
    <n v="8"/>
    <n v="737.08"/>
    <n v="3.8"/>
    <n v="1.21"/>
    <n v="0.77"/>
    <n v="1.04"/>
    <x v="152"/>
    <n v="11.8"/>
    <n v="1.72"/>
    <x v="34"/>
    <s v="Delivered"/>
    <n v="4.7"/>
  </r>
  <r>
    <s v="ORD100200"/>
    <d v="2026-08-02T00:00:00"/>
    <x v="1"/>
    <x v="1"/>
    <x v="6"/>
    <x v="6"/>
    <x v="172"/>
    <x v="1"/>
    <n v="4"/>
    <n v="478.75"/>
    <n v="2.56"/>
    <n v="0.88"/>
    <n v="1.55"/>
    <n v="1.18"/>
    <x v="153"/>
    <n v="14.17"/>
    <n v="2.89"/>
    <x v="6"/>
    <s v="Delivered"/>
    <n v="5"/>
  </r>
  <r>
    <s v="ORD100201"/>
    <d v="2026-07-18T00:00:00"/>
    <x v="0"/>
    <x v="1"/>
    <x v="1"/>
    <x v="1"/>
    <x v="173"/>
    <x v="0"/>
    <n v="8"/>
    <n v="120"/>
    <n v="3.97"/>
    <n v="1.21"/>
    <n v="0.87"/>
    <n v="0.56999999999999995"/>
    <x v="78"/>
    <n v="12.1"/>
    <n v="1.21"/>
    <x v="8"/>
    <s v="Delivered"/>
    <n v="3.9"/>
  </r>
  <r>
    <s v="ORD100202"/>
    <d v="2026-08-09T00:00:00"/>
    <x v="3"/>
    <x v="2"/>
    <x v="5"/>
    <x v="5"/>
    <x v="174"/>
    <x v="1"/>
    <n v="5"/>
    <n v="390.59"/>
    <n v="3.03"/>
    <n v="0.98"/>
    <n v="1.99"/>
    <n v="1.41"/>
    <x v="154"/>
    <n v="15.79"/>
    <n v="3.06"/>
    <x v="52"/>
    <s v="Delivered"/>
    <n v="3.8"/>
  </r>
  <r>
    <s v="ORD100203"/>
    <d v="2026-08-09T00:00:00"/>
    <x v="3"/>
    <x v="1"/>
    <x v="3"/>
    <x v="3"/>
    <x v="175"/>
    <x v="0"/>
    <n v="3"/>
    <n v="733.46"/>
    <n v="2.42"/>
    <n v="0.76"/>
    <n v="1.47"/>
    <n v="0.98"/>
    <x v="96"/>
    <n v="11.91"/>
    <n v="2.57"/>
    <x v="32"/>
    <s v="Delivered"/>
    <n v="5"/>
  </r>
  <r>
    <s v="ORD100204"/>
    <d v="2026-07-24T00:00:00"/>
    <x v="2"/>
    <x v="0"/>
    <x v="2"/>
    <x v="2"/>
    <x v="176"/>
    <x v="0"/>
    <n v="6"/>
    <n v="495.88"/>
    <n v="3.28"/>
    <n v="1.21"/>
    <n v="0.95"/>
    <n v="0.52"/>
    <x v="155"/>
    <n v="11.83"/>
    <n v="1.92"/>
    <x v="46"/>
    <s v="Delivered"/>
    <n v="5"/>
  </r>
  <r>
    <s v="ORD100205"/>
    <d v="2026-07-24T00:00:00"/>
    <x v="2"/>
    <x v="2"/>
    <x v="7"/>
    <x v="2"/>
    <x v="149"/>
    <x v="0"/>
    <n v="4"/>
    <n v="320.13"/>
    <n v="2.13"/>
    <n v="0.68"/>
    <n v="0.79"/>
    <n v="0.92"/>
    <x v="156"/>
    <n v="8.76"/>
    <n v="1.45"/>
    <x v="42"/>
    <s v="Delivered"/>
    <n v="5"/>
  </r>
  <r>
    <s v="ORD100206"/>
    <d v="2026-08-01T00:00:00"/>
    <x v="1"/>
    <x v="1"/>
    <x v="1"/>
    <x v="1"/>
    <x v="177"/>
    <x v="0"/>
    <n v="4"/>
    <n v="409.14"/>
    <n v="2.29"/>
    <n v="0.77"/>
    <n v="0.67"/>
    <n v="0.92"/>
    <x v="109"/>
    <n v="9.83"/>
    <n v="1.4"/>
    <x v="18"/>
    <s v="Delivered"/>
    <n v="4.5"/>
  </r>
  <r>
    <s v="ORD100207"/>
    <d v="2026-07-23T00:00:00"/>
    <x v="2"/>
    <x v="2"/>
    <x v="5"/>
    <x v="5"/>
    <x v="178"/>
    <x v="0"/>
    <n v="4"/>
    <n v="651.30999999999995"/>
    <n v="2.2599999999999998"/>
    <n v="0.86"/>
    <n v="1.18"/>
    <n v="0.59"/>
    <x v="20"/>
    <n v="11.99"/>
    <n v="2.68"/>
    <x v="44"/>
    <s v="Delivered"/>
    <n v="5"/>
  </r>
  <r>
    <s v="ORD100208"/>
    <d v="2026-08-07T00:00:00"/>
    <x v="3"/>
    <x v="0"/>
    <x v="2"/>
    <x v="2"/>
    <x v="179"/>
    <x v="1"/>
    <n v="5"/>
    <n v="598.41"/>
    <n v="2.95"/>
    <n v="0.75"/>
    <n v="2.72"/>
    <n v="1.07"/>
    <x v="157"/>
    <n v="15.03"/>
    <n v="3.56"/>
    <x v="3"/>
    <s v="Delivered"/>
    <n v="5"/>
  </r>
  <r>
    <s v="ORD100209"/>
    <d v="2026-08-04T00:00:00"/>
    <x v="3"/>
    <x v="1"/>
    <x v="3"/>
    <x v="3"/>
    <x v="180"/>
    <x v="1"/>
    <n v="2"/>
    <n v="456.99"/>
    <n v="2.85"/>
    <n v="0.69"/>
    <n v="1.71"/>
    <n v="1.21"/>
    <x v="158"/>
    <n v="11.79"/>
    <n v="1.88"/>
    <x v="65"/>
    <s v="Delivered"/>
    <n v="5"/>
  </r>
  <r>
    <s v="ORD100210"/>
    <d v="2026-08-09T00:00:00"/>
    <x v="3"/>
    <x v="1"/>
    <x v="3"/>
    <x v="3"/>
    <x v="181"/>
    <x v="0"/>
    <n v="4"/>
    <n v="433.97"/>
    <n v="3.46"/>
    <n v="1.07"/>
    <n v="1.1299999999999999"/>
    <n v="0.99"/>
    <x v="159"/>
    <n v="13.24"/>
    <n v="2.61"/>
    <x v="55"/>
    <s v="Delivered"/>
    <n v="4.2"/>
  </r>
  <r>
    <s v="ORD100211"/>
    <d v="2026-08-06T00:00:00"/>
    <x v="3"/>
    <x v="0"/>
    <x v="4"/>
    <x v="4"/>
    <x v="182"/>
    <x v="0"/>
    <n v="8"/>
    <n v="429.48"/>
    <n v="3.78"/>
    <n v="1.19"/>
    <n v="0.59"/>
    <n v="0.95"/>
    <x v="160"/>
    <n v="9.66"/>
    <n v="0.4"/>
    <x v="37"/>
    <s v="Delivered"/>
    <n v="5"/>
  </r>
  <r>
    <s v="ORD100212"/>
    <d v="2026-07-19T00:00:00"/>
    <x v="0"/>
    <x v="0"/>
    <x v="0"/>
    <x v="0"/>
    <x v="145"/>
    <x v="0"/>
    <n v="4"/>
    <n v="333.97"/>
    <n v="2.86"/>
    <n v="0.9"/>
    <n v="0.52"/>
    <n v="0.61"/>
    <x v="3"/>
    <n v="9.51"/>
    <n v="1.67"/>
    <x v="4"/>
    <s v="Delivered"/>
    <n v="5"/>
  </r>
  <r>
    <s v="ORD100213"/>
    <d v="2026-07-13T00:00:00"/>
    <x v="0"/>
    <x v="2"/>
    <x v="7"/>
    <x v="2"/>
    <x v="183"/>
    <x v="1"/>
    <n v="6"/>
    <n v="790.77"/>
    <n v="2.4900000000000002"/>
    <n v="0.88"/>
    <n v="1.62"/>
    <n v="1.1100000000000001"/>
    <x v="161"/>
    <n v="13.11"/>
    <n v="2.42"/>
    <x v="33"/>
    <s v="Delivered"/>
    <n v="4.8"/>
  </r>
  <r>
    <s v="ORD100214"/>
    <d v="2026-07-13T00:00:00"/>
    <x v="0"/>
    <x v="1"/>
    <x v="3"/>
    <x v="3"/>
    <x v="184"/>
    <x v="0"/>
    <n v="3"/>
    <n v="441.98"/>
    <n v="2.27"/>
    <n v="0.72"/>
    <n v="0.59"/>
    <n v="0.74"/>
    <x v="152"/>
    <n v="9.3000000000000007"/>
    <n v="1.38"/>
    <x v="46"/>
    <s v="Delivered"/>
    <n v="5"/>
  </r>
  <r>
    <s v="ORD100215"/>
    <d v="2026-08-06T00:00:00"/>
    <x v="3"/>
    <x v="0"/>
    <x v="0"/>
    <x v="0"/>
    <x v="185"/>
    <x v="0"/>
    <n v="4"/>
    <n v="719.09"/>
    <n v="2.4"/>
    <n v="0.82"/>
    <n v="0.79"/>
    <n v="0.94"/>
    <x v="162"/>
    <n v="9.65"/>
    <n v="1.36"/>
    <x v="43"/>
    <s v="Delivered"/>
    <n v="5"/>
  </r>
  <r>
    <s v="ORD100216"/>
    <d v="2026-08-08T00:00:00"/>
    <x v="3"/>
    <x v="1"/>
    <x v="6"/>
    <x v="6"/>
    <x v="186"/>
    <x v="0"/>
    <n v="2"/>
    <n v="773.84"/>
    <n v="2.02"/>
    <n v="0.67"/>
    <n v="0.76"/>
    <n v="1.08"/>
    <x v="115"/>
    <n v="9.2899999999999991"/>
    <n v="1.6"/>
    <x v="36"/>
    <s v="Delivered"/>
    <n v="4.5999999999999996"/>
  </r>
  <r>
    <s v="ORD100217"/>
    <d v="2026-08-06T00:00:00"/>
    <x v="3"/>
    <x v="2"/>
    <x v="5"/>
    <x v="5"/>
    <x v="187"/>
    <x v="0"/>
    <n v="6"/>
    <n v="679.7"/>
    <n v="3.06"/>
    <n v="1.18"/>
    <n v="1.18"/>
    <n v="0.72"/>
    <x v="163"/>
    <n v="13.23"/>
    <n v="2.46"/>
    <x v="70"/>
    <s v="Delivered"/>
    <n v="5"/>
  </r>
  <r>
    <s v="ORD100218"/>
    <d v="2026-08-01T00:00:00"/>
    <x v="1"/>
    <x v="0"/>
    <x v="0"/>
    <x v="0"/>
    <x v="188"/>
    <x v="0"/>
    <n v="5"/>
    <n v="422.31"/>
    <n v="2.73"/>
    <n v="1.02"/>
    <n v="1.01"/>
    <n v="0.86"/>
    <x v="164"/>
    <n v="12.38"/>
    <n v="2.0299999999999998"/>
    <x v="54"/>
    <s v="Delivered"/>
    <n v="4.9000000000000004"/>
  </r>
  <r>
    <s v="ORD100219"/>
    <d v="2026-07-25T00:00:00"/>
    <x v="2"/>
    <x v="1"/>
    <x v="1"/>
    <x v="1"/>
    <x v="189"/>
    <x v="0"/>
    <n v="4"/>
    <n v="572.66999999999996"/>
    <n v="1.99"/>
    <n v="0.74"/>
    <n v="0.62"/>
    <n v="1"/>
    <x v="165"/>
    <n v="7.4"/>
    <n v="0.4"/>
    <x v="0"/>
    <s v="Delivered"/>
    <n v="5"/>
  </r>
  <r>
    <s v="ORD100220"/>
    <d v="2026-07-21T00:00:00"/>
    <x v="2"/>
    <x v="1"/>
    <x v="1"/>
    <x v="1"/>
    <x v="190"/>
    <x v="0"/>
    <n v="8"/>
    <n v="495.64"/>
    <n v="3.82"/>
    <n v="1.22"/>
    <n v="0.93"/>
    <n v="0.63"/>
    <x v="70"/>
    <n v="9.6"/>
    <n v="0.4"/>
    <x v="48"/>
    <s v="Delivered"/>
    <n v="5"/>
  </r>
  <r>
    <s v="ORD100221"/>
    <d v="2026-07-15T00:00:00"/>
    <x v="0"/>
    <x v="1"/>
    <x v="3"/>
    <x v="3"/>
    <x v="133"/>
    <x v="0"/>
    <n v="5"/>
    <n v="337.33"/>
    <n v="2.52"/>
    <n v="1.01"/>
    <n v="0.91"/>
    <n v="0.4"/>
    <x v="166"/>
    <n v="10.37"/>
    <n v="1.65"/>
    <x v="71"/>
    <s v="Delivered"/>
    <n v="4.5"/>
  </r>
  <r>
    <s v="ORD100222"/>
    <d v="2026-07-19T00:00:00"/>
    <x v="0"/>
    <x v="1"/>
    <x v="3"/>
    <x v="3"/>
    <x v="191"/>
    <x v="0"/>
    <n v="8"/>
    <n v="558.38"/>
    <n v="3.64"/>
    <n v="1.33"/>
    <n v="1"/>
    <n v="0.43"/>
    <x v="167"/>
    <n v="12.95"/>
    <n v="2.61"/>
    <x v="59"/>
    <s v="Delivered"/>
    <n v="4.5999999999999996"/>
  </r>
  <r>
    <s v="ORD100223"/>
    <d v="2026-07-18T00:00:00"/>
    <x v="0"/>
    <x v="1"/>
    <x v="1"/>
    <x v="1"/>
    <x v="18"/>
    <x v="0"/>
    <n v="6"/>
    <n v="287.77"/>
    <n v="3.85"/>
    <n v="1.22"/>
    <n v="1.34"/>
    <n v="0.35"/>
    <x v="168"/>
    <n v="10"/>
    <n v="0.4"/>
    <x v="9"/>
    <s v="Delivered"/>
    <n v="4.8"/>
  </r>
  <r>
    <s v="ORD100224"/>
    <d v="2026-07-20T00:00:00"/>
    <x v="2"/>
    <x v="0"/>
    <x v="2"/>
    <x v="2"/>
    <x v="192"/>
    <x v="0"/>
    <n v="3"/>
    <n v="713.78"/>
    <n v="2.14"/>
    <n v="0.67"/>
    <n v="1.69"/>
    <n v="0.53"/>
    <x v="169"/>
    <n v="10.85"/>
    <n v="1.75"/>
    <x v="49"/>
    <s v="Delivered"/>
    <n v="4.2"/>
  </r>
  <r>
    <s v="ORD100225"/>
    <d v="2026-08-08T00:00:00"/>
    <x v="3"/>
    <x v="0"/>
    <x v="4"/>
    <x v="4"/>
    <x v="193"/>
    <x v="0"/>
    <n v="2"/>
    <n v="416.37"/>
    <n v="1.35"/>
    <n v="0.61"/>
    <n v="0.66"/>
    <n v="0.84"/>
    <x v="170"/>
    <n v="7.79"/>
    <n v="1.73"/>
    <x v="33"/>
    <s v="Delivered"/>
    <n v="5"/>
  </r>
  <r>
    <s v="ORD100227"/>
    <d v="2026-07-17T00:00:00"/>
    <x v="0"/>
    <x v="2"/>
    <x v="5"/>
    <x v="5"/>
    <x v="194"/>
    <x v="1"/>
    <n v="3"/>
    <n v="550.99"/>
    <n v="2.85"/>
    <n v="0.76"/>
    <n v="1.93"/>
    <n v="0.8"/>
    <x v="63"/>
    <n v="12.68"/>
    <n v="2.1"/>
    <x v="17"/>
    <s v="Delivered"/>
    <n v="3.9"/>
  </r>
  <r>
    <s v="ORD100228"/>
    <d v="2026-07-13T00:00:00"/>
    <x v="0"/>
    <x v="0"/>
    <x v="2"/>
    <x v="2"/>
    <x v="195"/>
    <x v="0"/>
    <n v="4"/>
    <n v="453.4"/>
    <n v="3.37"/>
    <n v="0.93"/>
    <n v="0.7"/>
    <n v="0.71"/>
    <x v="111"/>
    <n v="12.12"/>
    <n v="2.54"/>
    <x v="13"/>
    <s v="Delivered"/>
    <n v="4.7"/>
  </r>
  <r>
    <s v="ORD100229"/>
    <d v="2026-07-31T00:00:00"/>
    <x v="1"/>
    <x v="0"/>
    <x v="0"/>
    <x v="0"/>
    <x v="196"/>
    <x v="0"/>
    <n v="4"/>
    <n v="605.6"/>
    <n v="2.25"/>
    <n v="0.99"/>
    <n v="1.28"/>
    <n v="0.63"/>
    <x v="86"/>
    <n v="11.41"/>
    <n v="2.33"/>
    <x v="29"/>
    <s v="Delivered"/>
    <n v="5"/>
  </r>
  <r>
    <s v="ORD100230"/>
    <d v="2026-07-22T00:00:00"/>
    <x v="2"/>
    <x v="0"/>
    <x v="2"/>
    <x v="2"/>
    <x v="197"/>
    <x v="0"/>
    <n v="4"/>
    <n v="414.52"/>
    <n v="2.85"/>
    <n v="0.86"/>
    <n v="1.76"/>
    <n v="0.94"/>
    <x v="171"/>
    <n v="9.7100000000000009"/>
    <n v="0.4"/>
    <x v="29"/>
    <s v="Delivered"/>
    <n v="5"/>
  </r>
  <r>
    <s v="ORD100231"/>
    <d v="2026-07-24T00:00:00"/>
    <x v="2"/>
    <x v="1"/>
    <x v="6"/>
    <x v="6"/>
    <x v="30"/>
    <x v="0"/>
    <n v="5"/>
    <n v="656.83"/>
    <n v="2.74"/>
    <n v="0.91"/>
    <n v="0.48"/>
    <n v="0.76"/>
    <x v="172"/>
    <n v="11.12"/>
    <n v="2.89"/>
    <x v="31"/>
    <s v="Delivered"/>
    <n v="4.8"/>
  </r>
  <r>
    <s v="ORD100232"/>
    <d v="2026-08-05T00:00:00"/>
    <x v="3"/>
    <x v="1"/>
    <x v="1"/>
    <x v="1"/>
    <x v="198"/>
    <x v="1"/>
    <n v="10"/>
    <n v="257.72000000000003"/>
    <n v="3.96"/>
    <n v="1.37"/>
    <n v="1.69"/>
    <n v="1.35"/>
    <x v="173"/>
    <n v="16.329999999999998"/>
    <n v="2.64"/>
    <x v="44"/>
    <s v="Delivered"/>
    <n v="3.7"/>
  </r>
  <r>
    <s v="ORD100233"/>
    <d v="2026-07-27T00:00:00"/>
    <x v="1"/>
    <x v="1"/>
    <x v="3"/>
    <x v="3"/>
    <x v="199"/>
    <x v="0"/>
    <n v="5"/>
    <n v="522.75"/>
    <n v="3.83"/>
    <n v="0.85"/>
    <n v="1.7"/>
    <n v="0.67"/>
    <x v="174"/>
    <n v="13.9"/>
    <n v="2.66"/>
    <x v="0"/>
    <s v="Delivered"/>
    <n v="4.5999999999999996"/>
  </r>
  <r>
    <s v="ORD100234"/>
    <d v="2026-08-08T00:00:00"/>
    <x v="3"/>
    <x v="1"/>
    <x v="3"/>
    <x v="3"/>
    <x v="200"/>
    <x v="0"/>
    <n v="5"/>
    <n v="849.01"/>
    <n v="2.37"/>
    <n v="1.2"/>
    <n v="1.56"/>
    <n v="1.06"/>
    <x v="175"/>
    <n v="17.66"/>
    <n v="5.5"/>
    <x v="47"/>
    <s v="Delivered"/>
    <n v="3.7"/>
  </r>
  <r>
    <s v="ORD100235"/>
    <d v="2026-08-03T00:00:00"/>
    <x v="3"/>
    <x v="1"/>
    <x v="1"/>
    <x v="1"/>
    <x v="201"/>
    <x v="0"/>
    <n v="8"/>
    <n v="319.94"/>
    <n v="3.65"/>
    <n v="1"/>
    <n v="1.3"/>
    <n v="0.71"/>
    <x v="176"/>
    <n v="10.5"/>
    <n v="0.4"/>
    <x v="41"/>
    <s v="Delivered"/>
    <n v="4"/>
  </r>
  <r>
    <s v="ORD100236"/>
    <d v="2026-08-05T00:00:00"/>
    <x v="3"/>
    <x v="1"/>
    <x v="3"/>
    <x v="3"/>
    <x v="202"/>
    <x v="0"/>
    <n v="8"/>
    <n v="378.01"/>
    <n v="3.72"/>
    <n v="1.21"/>
    <n v="1.58"/>
    <n v="1.07"/>
    <x v="177"/>
    <n v="15.53"/>
    <n v="3.75"/>
    <x v="5"/>
    <s v="Delivered"/>
    <n v="4.9000000000000004"/>
  </r>
  <r>
    <s v="ORD100237"/>
    <d v="2026-07-21T00:00:00"/>
    <x v="2"/>
    <x v="2"/>
    <x v="7"/>
    <x v="2"/>
    <x v="203"/>
    <x v="0"/>
    <n v="5"/>
    <n v="592.5"/>
    <n v="3.28"/>
    <n v="1.19"/>
    <n v="1.01"/>
    <n v="0.7"/>
    <x v="53"/>
    <n v="12.15"/>
    <n v="1.94"/>
    <x v="29"/>
    <s v="Delivered"/>
    <n v="5"/>
  </r>
  <r>
    <s v="ORD100238"/>
    <d v="2026-08-01T00:00:00"/>
    <x v="1"/>
    <x v="0"/>
    <x v="4"/>
    <x v="4"/>
    <x v="204"/>
    <x v="0"/>
    <n v="4"/>
    <n v="532.32000000000005"/>
    <n v="2.71"/>
    <n v="0.87"/>
    <n v="0.53"/>
    <n v="0.89"/>
    <x v="178"/>
    <n v="11.37"/>
    <n v="2.46"/>
    <x v="7"/>
    <s v="Delivered"/>
    <n v="4.9000000000000004"/>
  </r>
  <r>
    <s v="ORD100239"/>
    <d v="2026-07-29T00:00:00"/>
    <x v="1"/>
    <x v="1"/>
    <x v="1"/>
    <x v="1"/>
    <x v="205"/>
    <x v="0"/>
    <n v="7"/>
    <n v="563.11"/>
    <n v="3.45"/>
    <n v="1.0900000000000001"/>
    <n v="1.36"/>
    <n v="0.57999999999999996"/>
    <x v="179"/>
    <n v="12.99"/>
    <n v="2.16"/>
    <x v="72"/>
    <s v="Delivered"/>
    <n v="4.7"/>
  </r>
  <r>
    <s v="ORD100240"/>
    <d v="2026-07-29T00:00:00"/>
    <x v="1"/>
    <x v="1"/>
    <x v="1"/>
    <x v="1"/>
    <x v="206"/>
    <x v="0"/>
    <n v="7"/>
    <n v="588.04999999999995"/>
    <n v="3.2"/>
    <n v="1.07"/>
    <n v="1.4"/>
    <n v="0.63"/>
    <x v="50"/>
    <n v="10.65"/>
    <n v="1.82"/>
    <x v="73"/>
    <s v="Delivered"/>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C6864-37C4-4449-9E56-FEBFB98D7248}"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location ref="A234:C236" firstHeaderRow="0" firstDataRow="1" firstDataCol="1"/>
  <pivotFields count="24">
    <pivotField showAll="0"/>
    <pivotField numFmtId="14" showAll="0"/>
    <pivotField numFmtId="14" showAll="0">
      <items count="5">
        <item x="0"/>
        <item x="2"/>
        <item x="1"/>
        <item x="3"/>
        <item t="default"/>
      </items>
    </pivotField>
    <pivotField showAll="0"/>
    <pivotField showAll="0"/>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axis="axisRow" showAll="0">
      <items count="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2">
    <i>
      <x/>
    </i>
    <i>
      <x v="1"/>
    </i>
  </rowItems>
  <colFields count="1">
    <field x="-2"/>
  </colFields>
  <colItems count="2">
    <i>
      <x/>
    </i>
    <i i="1">
      <x v="1"/>
    </i>
  </colItems>
  <dataFields count="2">
    <dataField name="Rider_assignment_time" fld="12" subtotal="average" baseField="0" baseItem="0"/>
    <dataField name="Average of total_delivery_time_min" fld="15" subtotal="average" baseField="0" baseItem="0"/>
  </dataFields>
  <formats count="1">
    <format dxfId="32">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D5BD93-E202-4C75-9B6D-7F3CE4AACFF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3:D97" firstHeaderRow="0" firstDataRow="1" firstDataCol="1"/>
  <pivotFields count="24">
    <pivotField dataField="1" showAll="0"/>
    <pivotField numFmtId="14" showAll="0"/>
    <pivotField numFmtId="14" showAll="0">
      <items count="5">
        <item x="0"/>
        <item x="2"/>
        <item x="1"/>
        <item x="3"/>
        <item t="default"/>
      </items>
    </pivotField>
    <pivotField showAll="0"/>
    <pivotField showAll="0"/>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3"/>
  </rowFields>
  <rowItems count="24">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3">
    <i>
      <x/>
    </i>
    <i i="1">
      <x v="1"/>
    </i>
    <i i="2">
      <x v="2"/>
    </i>
  </colItems>
  <dataFields count="3">
    <dataField name="Average of rider_assignment_time_min" fld="12" subtotal="average" baseField="0" baseItem="0" numFmtId="164"/>
    <dataField name="Average of rider_waiting_time_min" fld="13" subtotal="average" baseField="0" baseItem="0" numFmtId="164"/>
    <dataField name="Count of order_id" fld="0" subtotal="count" baseField="0" baseItem="0"/>
  </dataFields>
  <formats count="2">
    <format dxfId="34">
      <pivotArea outline="0" collapsedLevelsAreSubtotals="1" fieldPosition="0"/>
    </format>
    <format dxfId="33">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6FBD0-CCAB-415C-97B2-7563A245B0D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3:E177" firstHeaderRow="0" firstDataRow="1" firstDataCol="1"/>
  <pivotFields count="24">
    <pivotField dataField="1" showAll="0"/>
    <pivotField numFmtId="14" showAll="0"/>
    <pivotField numFmtId="14" showAll="0">
      <items count="5">
        <item x="0"/>
        <item x="2"/>
        <item x="1"/>
        <item x="3"/>
        <item t="default"/>
      </items>
    </pivotField>
    <pivotField showAll="0"/>
    <pivotField showAll="0"/>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showAll="0"/>
    <pivotField showAll="0"/>
    <pivotField showAll="0"/>
    <pivotField showAll="0"/>
    <pivotField showAll="0"/>
    <pivotField dataField="1" showAll="0"/>
    <pivotField dataField="1" showAll="0"/>
    <pivotField showAll="0"/>
    <pivotField dataField="1" showAll="0"/>
    <pivotField showAll="0"/>
    <pivotField axis="axisRow" showAll="0">
      <items count="75">
        <item x="6"/>
        <item x="33"/>
        <item x="64"/>
        <item x="23"/>
        <item x="30"/>
        <item x="13"/>
        <item x="57"/>
        <item x="37"/>
        <item x="26"/>
        <item x="19"/>
        <item x="39"/>
        <item x="34"/>
        <item x="55"/>
        <item x="22"/>
        <item x="0"/>
        <item x="59"/>
        <item x="11"/>
        <item x="1"/>
        <item x="31"/>
        <item x="14"/>
        <item x="70"/>
        <item x="2"/>
        <item x="62"/>
        <item x="3"/>
        <item x="27"/>
        <item x="61"/>
        <item x="45"/>
        <item x="20"/>
        <item x="18"/>
        <item x="68"/>
        <item x="8"/>
        <item x="54"/>
        <item x="40"/>
        <item x="41"/>
        <item x="65"/>
        <item x="17"/>
        <item x="25"/>
        <item x="67"/>
        <item x="7"/>
        <item x="71"/>
        <item x="66"/>
        <item x="12"/>
        <item x="63"/>
        <item x="69"/>
        <item x="16"/>
        <item x="56"/>
        <item x="48"/>
        <item x="47"/>
        <item x="28"/>
        <item x="4"/>
        <item x="10"/>
        <item x="43"/>
        <item x="72"/>
        <item x="49"/>
        <item x="51"/>
        <item x="21"/>
        <item x="36"/>
        <item x="52"/>
        <item x="24"/>
        <item x="44"/>
        <item x="73"/>
        <item x="38"/>
        <item x="53"/>
        <item x="29"/>
        <item x="15"/>
        <item x="42"/>
        <item x="58"/>
        <item x="5"/>
        <item x="35"/>
        <item x="50"/>
        <item x="60"/>
        <item x="46"/>
        <item x="32"/>
        <item x="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Fields count="1">
    <field x="-2"/>
  </colFields>
  <colItems count="4">
    <i>
      <x/>
    </i>
    <i i="1">
      <x v="1"/>
    </i>
    <i i="2">
      <x v="2"/>
    </i>
    <i i="3">
      <x v="3"/>
    </i>
  </colItems>
  <dataFields count="4">
    <dataField name="Count of order_id" fld="0" subtotal="count" baseField="0" baseItem="0"/>
    <dataField name="Average of rider_assignment_time_min" fld="12" subtotal="average" baseField="0" baseItem="0" numFmtId="164"/>
    <dataField name="Average of rider_waiting_time_min" fld="13" subtotal="average" baseField="0" baseItem="0" numFmtId="164"/>
    <dataField name="Average of total_delivery_time_min" fld="15" subtotal="average" baseField="0" baseItem="0" numFmtId="164"/>
  </dataFields>
  <formats count="2">
    <format dxfId="36">
      <pivotArea outline="0" collapsedLevelsAreSubtotals="1" fieldPosition="0"/>
    </format>
    <format dxfId="35">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5179F4-EDDC-425F-BAB8-18CDD2083797}" name="PivotTable1" cacheId="0" dataOnRows="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location ref="A3:B7" firstHeaderRow="1" firstDataRow="1" firstDataCol="1"/>
  <pivotFields count="24">
    <pivotField showAll="0"/>
    <pivotField numFmtId="14" showAll="0"/>
    <pivotField axis="axisRow" numFmtId="14" showAll="0">
      <items count="5">
        <item x="0"/>
        <item x="2"/>
        <item x="1"/>
        <item x="3"/>
        <item t="default"/>
      </items>
    </pivotField>
    <pivotField showAll="0">
      <items count="4">
        <item x="0"/>
        <item x="2"/>
        <item x="1"/>
        <item t="default"/>
      </items>
    </pivotField>
    <pivotField showAll="0">
      <items count="9">
        <item x="4"/>
        <item x="2"/>
        <item x="0"/>
        <item x="7"/>
        <item x="5"/>
        <item x="6"/>
        <item x="1"/>
        <item x="3"/>
        <item t="default"/>
      </items>
    </pivotField>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showAll="0">
      <items count="3">
        <item x="0"/>
        <item x="1"/>
        <item t="default"/>
      </items>
    </pivotField>
    <pivotField showAll="0"/>
    <pivotField showAll="0"/>
    <pivotField showAll="0"/>
    <pivotField showAll="0"/>
    <pivotField showAll="0"/>
    <pivotField showAll="0"/>
    <pivotField showAll="0">
      <items count="181">
        <item x="70"/>
        <item x="165"/>
        <item x="160"/>
        <item x="94"/>
        <item x="125"/>
        <item x="168"/>
        <item x="171"/>
        <item x="5"/>
        <item x="131"/>
        <item x="176"/>
        <item x="55"/>
        <item x="138"/>
        <item x="23"/>
        <item x="32"/>
        <item x="144"/>
        <item x="98"/>
        <item x="156"/>
        <item x="46"/>
        <item x="15"/>
        <item x="170"/>
        <item x="50"/>
        <item x="80"/>
        <item x="13"/>
        <item x="110"/>
        <item x="41"/>
        <item x="84"/>
        <item x="73"/>
        <item x="127"/>
        <item x="139"/>
        <item x="3"/>
        <item x="162"/>
        <item x="81"/>
        <item x="141"/>
        <item x="115"/>
        <item x="8"/>
        <item x="97"/>
        <item x="102"/>
        <item x="1"/>
        <item x="152"/>
        <item x="45"/>
        <item x="12"/>
        <item x="95"/>
        <item x="104"/>
        <item x="93"/>
        <item x="26"/>
        <item x="109"/>
        <item x="107"/>
        <item x="120"/>
        <item x="142"/>
        <item x="106"/>
        <item x="103"/>
        <item x="158"/>
        <item x="134"/>
        <item x="105"/>
        <item x="62"/>
        <item x="145"/>
        <item x="78"/>
        <item x="77"/>
        <item x="27"/>
        <item x="166"/>
        <item x="19"/>
        <item x="28"/>
        <item x="91"/>
        <item x="56"/>
        <item x="143"/>
        <item x="149"/>
        <item x="92"/>
        <item x="99"/>
        <item x="11"/>
        <item x="108"/>
        <item x="49"/>
        <item x="169"/>
        <item x="155"/>
        <item x="71"/>
        <item x="48"/>
        <item x="118"/>
        <item x="83"/>
        <item x="53"/>
        <item x="60"/>
        <item x="124"/>
        <item x="126"/>
        <item x="117"/>
        <item x="74"/>
        <item x="10"/>
        <item x="18"/>
        <item x="150"/>
        <item x="59"/>
        <item x="172"/>
        <item x="42"/>
        <item x="86"/>
        <item x="114"/>
        <item x="96"/>
        <item x="16"/>
        <item x="140"/>
        <item x="89"/>
        <item x="63"/>
        <item x="40"/>
        <item x="178"/>
        <item x="72"/>
        <item x="111"/>
        <item x="29"/>
        <item x="123"/>
        <item x="179"/>
        <item x="88"/>
        <item x="79"/>
        <item x="167"/>
        <item x="69"/>
        <item x="159"/>
        <item x="0"/>
        <item x="6"/>
        <item x="147"/>
        <item x="2"/>
        <item x="21"/>
        <item x="135"/>
        <item x="90"/>
        <item x="164"/>
        <item x="122"/>
        <item x="33"/>
        <item x="67"/>
        <item x="174"/>
        <item x="64"/>
        <item x="39"/>
        <item x="161"/>
        <item x="4"/>
        <item x="100"/>
        <item x="163"/>
        <item x="20"/>
        <item x="9"/>
        <item x="85"/>
        <item x="75"/>
        <item x="17"/>
        <item x="35"/>
        <item x="14"/>
        <item x="31"/>
        <item x="148"/>
        <item x="133"/>
        <item x="43"/>
        <item x="66"/>
        <item x="22"/>
        <item x="112"/>
        <item x="47"/>
        <item x="25"/>
        <item x="87"/>
        <item x="57"/>
        <item x="157"/>
        <item x="130"/>
        <item x="51"/>
        <item x="116"/>
        <item x="82"/>
        <item x="7"/>
        <item x="151"/>
        <item x="146"/>
        <item x="54"/>
        <item x="177"/>
        <item x="173"/>
        <item x="101"/>
        <item x="153"/>
        <item x="24"/>
        <item x="36"/>
        <item x="38"/>
        <item x="68"/>
        <item x="119"/>
        <item x="154"/>
        <item x="132"/>
        <item x="58"/>
        <item x="34"/>
        <item x="65"/>
        <item x="44"/>
        <item x="129"/>
        <item x="30"/>
        <item x="136"/>
        <item x="37"/>
        <item x="137"/>
        <item x="128"/>
        <item x="52"/>
        <item x="121"/>
        <item x="61"/>
        <item x="76"/>
        <item x="113"/>
        <item x="175"/>
        <item t="default"/>
      </items>
    </pivotField>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x v="3"/>
    </i>
  </rowItems>
  <colItems count="1">
    <i/>
  </colItems>
  <dataFields count="1">
    <dataField name="Average of total_delivery_time_min" fld="15" subtotal="average" baseField="0" baseItem="0"/>
  </dataFields>
  <formats count="1">
    <format dxfId="3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2EEE03-A806-448A-B71A-DC6BC37811A5}"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location ref="A14:C16" firstHeaderRow="0" firstDataRow="1" firstDataCol="1"/>
  <pivotFields count="24">
    <pivotField showAll="0"/>
    <pivotField numFmtId="14" showAll="0"/>
    <pivotField numFmtId="14" showAll="0">
      <items count="5">
        <item x="0"/>
        <item x="2"/>
        <item x="1"/>
        <item x="3"/>
        <item t="default"/>
      </items>
    </pivotField>
    <pivotField showAll="0">
      <items count="4">
        <item x="0"/>
        <item x="2"/>
        <item x="1"/>
        <item t="default"/>
      </items>
    </pivotField>
    <pivotField showAll="0">
      <items count="9">
        <item x="4"/>
        <item x="2"/>
        <item x="0"/>
        <item x="7"/>
        <item x="5"/>
        <item x="6"/>
        <item x="1"/>
        <item x="3"/>
        <item t="default"/>
      </items>
    </pivotField>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axis="axisRow" showAll="0">
      <items count="3">
        <item x="0"/>
        <item x="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2">
    <i>
      <x/>
    </i>
    <i>
      <x v="1"/>
    </i>
  </rowItems>
  <colFields count="1">
    <field x="-2"/>
  </colFields>
  <colItems count="2">
    <i>
      <x/>
    </i>
    <i i="1">
      <x v="1"/>
    </i>
  </colItems>
  <dataFields count="2">
    <dataField name="Rider_waiting_time" fld="13" subtotal="average" baseField="0" baseItem="0"/>
    <dataField name="Rider_assignment_time" fld="12" subtotal="average" baseField="0" baseItem="0"/>
  </dataFields>
  <formats count="1">
    <format dxfId="38">
      <pivotArea outline="0" collapsedLevelsAreSubtotals="1" fieldPosition="0"/>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C95AE3-23DD-4A29-B030-0B4710E15B3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96:B204" firstHeaderRow="1" firstDataRow="1" firstDataCol="1" rowPageCount="1" colPageCount="1"/>
  <pivotFields count="24">
    <pivotField showAll="0"/>
    <pivotField numFmtId="14" showAll="0"/>
    <pivotField numFmtId="14" showAll="0">
      <items count="5">
        <item x="0"/>
        <item x="2"/>
        <item x="1"/>
        <item x="3"/>
        <item t="default"/>
      </items>
    </pivotField>
    <pivotField showAll="0"/>
    <pivotField axis="axisRow" showAll="0">
      <items count="9">
        <item x="4"/>
        <item x="2"/>
        <item x="0"/>
        <item x="7"/>
        <item x="5"/>
        <item x="6"/>
        <item x="1"/>
        <item x="3"/>
        <item t="default"/>
      </items>
    </pivotField>
    <pivotField numFmtId="2" showAll="0">
      <items count="8">
        <item x="6"/>
        <item x="0"/>
        <item x="3"/>
        <item x="4"/>
        <item x="2"/>
        <item x="1"/>
        <item x="5"/>
        <item t="default"/>
      </items>
    </pivotField>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axis="axisPage"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1"/>
    </i>
    <i>
      <x v="2"/>
    </i>
    <i>
      <x v="3"/>
    </i>
    <i>
      <x v="4"/>
    </i>
    <i>
      <x v="5"/>
    </i>
    <i>
      <x v="6"/>
    </i>
    <i>
      <x v="7"/>
    </i>
  </rowItems>
  <colItems count="1">
    <i/>
  </colItems>
  <pageFields count="1">
    <pageField fld="7" item="1" hier="-1"/>
  </pageFields>
  <dataFields count="1">
    <dataField name="Average of rider_assignment_time_min" fld="12" subtotal="average" baseField="4"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8DCC1A-5223-43C1-8F1F-1C5ADAAEB66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3:B191" firstHeaderRow="1" firstDataRow="1" firstDataCol="1" rowPageCount="1" colPageCount="1"/>
  <pivotFields count="24">
    <pivotField dataField="1" showAll="0"/>
    <pivotField numFmtId="14" showAll="0"/>
    <pivotField numFmtId="14" showAll="0">
      <items count="5">
        <item x="0"/>
        <item x="2"/>
        <item x="1"/>
        <item x="3"/>
        <item t="default"/>
      </items>
    </pivotField>
    <pivotField showAll="0"/>
    <pivotField axis="axisRow" showAll="0">
      <items count="9">
        <item x="4"/>
        <item x="2"/>
        <item x="0"/>
        <item x="7"/>
        <item x="5"/>
        <item x="6"/>
        <item x="1"/>
        <item x="3"/>
        <item t="default"/>
      </items>
    </pivotField>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1"/>
    </i>
    <i>
      <x v="2"/>
    </i>
    <i>
      <x v="3"/>
    </i>
    <i>
      <x v="4"/>
    </i>
    <i>
      <x v="5"/>
    </i>
    <i>
      <x v="6"/>
    </i>
    <i>
      <x v="7"/>
    </i>
  </rowItems>
  <colItems count="1">
    <i/>
  </colItems>
  <pageFields count="1">
    <pageField fld="7" hier="-1"/>
  </pageFields>
  <dataFields count="1">
    <dataField name="Count of order_id" fld="0" subtotal="count" baseField="0"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571FB1-2AA2-4BAF-B190-385A5FA0CE6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59:B67" firstHeaderRow="1" firstDataRow="1" firstDataCol="1" rowPageCount="1" colPageCount="1"/>
  <pivotFields count="24">
    <pivotField showAll="0"/>
    <pivotField numFmtId="14" showAll="0"/>
    <pivotField numFmtId="14" showAll="0">
      <items count="5">
        <item x="0"/>
        <item x="2"/>
        <item x="1"/>
        <item x="3"/>
        <item t="default"/>
      </items>
    </pivotField>
    <pivotField showAll="0">
      <items count="4">
        <item x="0"/>
        <item x="2"/>
        <item x="1"/>
        <item t="default"/>
      </items>
    </pivotField>
    <pivotField axis="axisRow" showAll="0">
      <items count="9">
        <item x="4"/>
        <item x="2"/>
        <item x="0"/>
        <item x="7"/>
        <item x="5"/>
        <item x="6"/>
        <item x="1"/>
        <item x="3"/>
        <item t="default"/>
      </items>
    </pivotField>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axis="axisPage"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1"/>
    </i>
    <i>
      <x v="2"/>
    </i>
    <i>
      <x v="3"/>
    </i>
    <i>
      <x v="4"/>
    </i>
    <i>
      <x v="5"/>
    </i>
    <i>
      <x v="6"/>
    </i>
    <i>
      <x v="7"/>
    </i>
  </rowItems>
  <colItems count="1">
    <i/>
  </colItems>
  <pageFields count="1">
    <pageField fld="7" hier="-1"/>
  </pageFields>
  <dataFields count="1">
    <dataField name="Average of total_delivery_time_min" fld="15" subtotal="average" baseField="0" baseItem="0" numFmtId="2"/>
  </dataFields>
  <formats count="1">
    <format dxfId="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B50F1D-1CA5-4068-BBB3-4E68CD38FBE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2:D25" firstHeaderRow="0" firstDataRow="1" firstDataCol="1"/>
  <pivotFields count="24">
    <pivotField showAll="0"/>
    <pivotField numFmtId="14" showAll="0"/>
    <pivotField numFmtId="14" showAll="0">
      <items count="5">
        <item x="0"/>
        <item x="2"/>
        <item x="1"/>
        <item x="3"/>
        <item t="default"/>
      </items>
    </pivotField>
    <pivotField axis="axisRow" showAll="0">
      <items count="4">
        <item x="0"/>
        <item x="2"/>
        <item x="1"/>
        <item t="default"/>
      </items>
    </pivotField>
    <pivotField showAll="0"/>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x v="2"/>
    </i>
  </rowItems>
  <colFields count="1">
    <field x="-2"/>
  </colFields>
  <colItems count="3">
    <i>
      <x/>
    </i>
    <i i="1">
      <x v="1"/>
    </i>
    <i i="2">
      <x v="2"/>
    </i>
  </colItems>
  <dataFields count="3">
    <dataField name="Average of rider_assignment_time_min" fld="12" subtotal="average" baseField="0" baseItem="0"/>
    <dataField name="Average of rider_waiting_time_min" fld="13" subtotal="average" baseField="0" baseItem="0"/>
    <dataField name="Average of delivery_time_min" fld="14" subtotal="average"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12983A-3E55-4CB8-B318-CCF4ABF3278F}"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A30:B37" firstHeaderRow="1" firstDataRow="1" firstDataCol="1"/>
  <pivotFields count="24">
    <pivotField showAll="0"/>
    <pivotField numFmtId="14" showAll="0"/>
    <pivotField numFmtId="14" showAll="0">
      <items count="5">
        <item x="0"/>
        <item x="2"/>
        <item x="1"/>
        <item x="3"/>
        <item t="default"/>
      </items>
    </pivotField>
    <pivotField showAll="0">
      <items count="4">
        <item x="0"/>
        <item x="2"/>
        <item x="1"/>
        <item t="default"/>
      </items>
    </pivotField>
    <pivotField showAll="0">
      <items count="9">
        <item x="4"/>
        <item x="2"/>
        <item x="0"/>
        <item x="7"/>
        <item x="5"/>
        <item x="6"/>
        <item x="1"/>
        <item x="3"/>
        <item t="default"/>
      </items>
    </pivotField>
    <pivotField numFmtId="2" showAll="0"/>
    <pivotField numFmtId="20" showAll="0">
      <items count="208">
        <item x="10"/>
        <item x="193"/>
        <item x="69"/>
        <item x="121"/>
        <item x="143"/>
        <item x="167"/>
        <item x="111"/>
        <item x="165"/>
        <item x="105"/>
        <item x="199"/>
        <item x="177"/>
        <item x="76"/>
        <item x="83"/>
        <item x="80"/>
        <item x="9"/>
        <item x="25"/>
        <item x="142"/>
        <item x="34"/>
        <item x="47"/>
        <item x="181"/>
        <item x="84"/>
        <item x="151"/>
        <item x="124"/>
        <item x="90"/>
        <item x="130"/>
        <item x="38"/>
        <item x="135"/>
        <item x="31"/>
        <item x="23"/>
        <item x="73"/>
        <item x="12"/>
        <item x="112"/>
        <item x="106"/>
        <item x="21"/>
        <item x="136"/>
        <item x="64"/>
        <item x="57"/>
        <item x="191"/>
        <item x="204"/>
        <item x="29"/>
        <item x="114"/>
        <item x="28"/>
        <item x="129"/>
        <item x="184"/>
        <item x="182"/>
        <item x="53"/>
        <item x="58"/>
        <item x="205"/>
        <item x="15"/>
        <item x="92"/>
        <item x="169"/>
        <item x="26"/>
        <item x="45"/>
        <item x="75"/>
        <item x="161"/>
        <item x="109"/>
        <item x="0"/>
        <item x="189"/>
        <item x="65"/>
        <item x="100"/>
        <item x="40"/>
        <item x="101"/>
        <item x="171"/>
        <item x="55"/>
        <item x="125"/>
        <item x="50"/>
        <item x="152"/>
        <item x="82"/>
        <item x="168"/>
        <item x="128"/>
        <item x="162"/>
        <item x="159"/>
        <item x="118"/>
        <item x="52"/>
        <item x="108"/>
        <item x="1"/>
        <item x="144"/>
        <item x="145"/>
        <item x="178"/>
        <item x="79"/>
        <item x="131"/>
        <item x="35"/>
        <item x="190"/>
        <item x="59"/>
        <item x="147"/>
        <item x="78"/>
        <item x="206"/>
        <item x="97"/>
        <item x="11"/>
        <item x="170"/>
        <item x="203"/>
        <item x="117"/>
        <item x="42"/>
        <item x="185"/>
        <item x="166"/>
        <item x="146"/>
        <item x="99"/>
        <item x="8"/>
        <item x="132"/>
        <item x="176"/>
        <item x="19"/>
        <item x="104"/>
        <item x="33"/>
        <item x="158"/>
        <item x="43"/>
        <item x="27"/>
        <item x="195"/>
        <item x="153"/>
        <item x="113"/>
        <item x="91"/>
        <item x="72"/>
        <item x="87"/>
        <item x="201"/>
        <item x="163"/>
        <item x="175"/>
        <item x="22"/>
        <item x="186"/>
        <item x="149"/>
        <item x="13"/>
        <item x="49"/>
        <item x="200"/>
        <item x="54"/>
        <item x="196"/>
        <item x="86"/>
        <item x="61"/>
        <item x="30"/>
        <item x="62"/>
        <item x="164"/>
        <item x="85"/>
        <item x="160"/>
        <item x="138"/>
        <item x="51"/>
        <item x="202"/>
        <item x="6"/>
        <item x="44"/>
        <item x="89"/>
        <item x="115"/>
        <item x="150"/>
        <item x="137"/>
        <item x="32"/>
        <item x="197"/>
        <item x="133"/>
        <item x="188"/>
        <item x="192"/>
        <item x="68"/>
        <item x="60"/>
        <item x="116"/>
        <item x="103"/>
        <item x="98"/>
        <item x="66"/>
        <item x="157"/>
        <item x="126"/>
        <item x="120"/>
        <item x="18"/>
        <item x="187"/>
        <item x="7"/>
        <item x="173"/>
        <item x="71"/>
        <item x="154"/>
        <item x="5"/>
        <item x="134"/>
        <item x="77"/>
        <item x="37"/>
        <item x="180"/>
        <item x="17"/>
        <item x="74"/>
        <item x="95"/>
        <item x="172"/>
        <item x="48"/>
        <item x="67"/>
        <item x="139"/>
        <item x="88"/>
        <item x="122"/>
        <item x="156"/>
        <item x="24"/>
        <item x="179"/>
        <item x="119"/>
        <item x="96"/>
        <item x="194"/>
        <item x="36"/>
        <item x="123"/>
        <item x="14"/>
        <item x="81"/>
        <item x="70"/>
        <item x="140"/>
        <item x="2"/>
        <item x="93"/>
        <item x="110"/>
        <item x="148"/>
        <item x="56"/>
        <item x="63"/>
        <item x="141"/>
        <item x="39"/>
        <item x="183"/>
        <item x="46"/>
        <item x="41"/>
        <item x="198"/>
        <item x="174"/>
        <item x="107"/>
        <item x="127"/>
        <item x="102"/>
        <item x="3"/>
        <item x="4"/>
        <item x="94"/>
        <item x="155"/>
        <item x="16"/>
        <item x="20"/>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sd="0" x="18"/>
        <item sd="0" x="19"/>
        <item sd="0" x="20"/>
        <item sd="0" x="21"/>
        <item sd="0" x="22"/>
        <item sd="0" x="23"/>
        <item sd="0" x="24"/>
        <item h="1" sd="0" x="25"/>
        <item t="default"/>
      </items>
    </pivotField>
  </pivotFields>
  <rowFields count="1">
    <field x="23"/>
  </rowFields>
  <rowItems count="7">
    <i>
      <x v="18"/>
    </i>
    <i>
      <x v="19"/>
    </i>
    <i>
      <x v="20"/>
    </i>
    <i>
      <x v="21"/>
    </i>
    <i>
      <x v="22"/>
    </i>
    <i>
      <x v="23"/>
    </i>
    <i>
      <x v="24"/>
    </i>
  </rowItems>
  <colItems count="1">
    <i/>
  </colItems>
  <dataFields count="1">
    <dataField name="Average of total_delivery_time_min" fld="15" subtotal="average" baseField="0" baseItem="0"/>
  </dataFields>
  <formats count="1">
    <format dxfId="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4541B21-9759-4075-AC48-961B4601D870}" sourceName="city">
  <pivotTables>
    <pivotTable tabId="6" name="PivotTable3"/>
    <pivotTable tabId="6" name="PivotTable1"/>
    <pivotTable tabId="6" name="PivotTable5"/>
    <pivotTable tabId="6" name="PivotTable6"/>
  </pivotTables>
  <data>
    <tabular pivotCacheId="22118654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9EBEA63B-661A-4170-AFE9-23056090B811}" sourceName="store_id">
  <pivotTables>
    <pivotTable tabId="6" name="PivotTable3"/>
    <pivotTable tabId="6" name="PivotTable1"/>
    <pivotTable tabId="6" name="PivotTable5"/>
    <pivotTable tabId="6" name="PivotTable6"/>
  </pivotTables>
  <data>
    <tabular pivotCacheId="221186545">
      <items count="8">
        <i x="4" s="1"/>
        <i x="2" s="1"/>
        <i x="0" s="1"/>
        <i x="7" s="1"/>
        <i x="5" s="1"/>
        <i x="6"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hour" xr10:uid="{C32A062D-0C2E-4662-B152-A90674345EA8}" sourceName="peakhour">
  <pivotTables>
    <pivotTable tabId="6" name="PivotTable3"/>
    <pivotTable tabId="6" name="PivotTable1"/>
    <pivotTable tabId="6" name="PivotTable5"/>
    <pivotTable tabId="6" name="PivotTable6"/>
  </pivotTables>
  <data>
    <tabular pivotCacheId="2211865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534AE5A-EDF4-4DA8-B604-75C434764971}" cache="Slicer_city" caption="CITY" style="Slicer Style 1" rowHeight="241300"/>
  <slicer name="store_id" xr10:uid="{1C0682C6-ACE4-4F07-AA68-06B8AE11171C}" cache="Slicer_store_id" caption="STORE" style="Slicer Style 1" rowHeight="241300"/>
  <slicer name="peakhour" xr10:uid="{3A9BA5CD-8F8A-49A4-882D-C2E4F8FAD36A}" cache="Slicer_peakhour" caption="HOU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D11627-320B-4614-BB64-F4DAD37300FF}" name="Table1" displayName="Table1" ref="A1:Q241" totalsRowShown="0">
  <autoFilter ref="A1:Q241" xr:uid="{78D11627-320B-4614-BB64-F4DAD37300FF}">
    <filterColumn colId="15">
      <filters>
        <filter val="Delivered"/>
      </filters>
    </filterColumn>
  </autoFilter>
  <tableColumns count="17">
    <tableColumn id="1" xr3:uid="{AAF7CF70-0086-4F02-89F2-D141CC5A8557}" name="order_id"/>
    <tableColumn id="2" xr3:uid="{6C1D44EB-D61E-480B-AB6D-E67184AD7045}" name="order_date" dataDxfId="28"/>
    <tableColumn id="3" xr3:uid="{CAEE6238-F6F5-475F-B636-578703DC025E}" name="city"/>
    <tableColumn id="4" xr3:uid="{9294C16E-5F7F-4168-B8A3-70404FCFF413}" name="store_id"/>
    <tableColumn id="5" xr3:uid="{5E64D2C4-DE0A-4DE5-893F-40159A035A88}" name="order_time" dataDxfId="27"/>
    <tableColumn id="6" xr3:uid="{83F28F0E-A768-431C-92B4-81504375E959}" name="items_count"/>
    <tableColumn id="7" xr3:uid="{0ABFAEF3-8CBB-470E-B659-1A7A6F87C1D6}" name="order_value"/>
    <tableColumn id="8" xr3:uid="{48C74389-BA5B-4280-B7A2-A67D42A56E41}" name="picking_time_min"/>
    <tableColumn id="9" xr3:uid="{09433793-0E41-4AA4-A5C3-186833491E48}" name="packing_time_min"/>
    <tableColumn id="10" xr3:uid="{A2D72852-28AA-4608-9031-048C99053C59}" name="rider_assignment_time_min"/>
    <tableColumn id="11" xr3:uid="{13920E43-0576-4039-B496-BC62766ED8E5}" name="rider_waiting_time_min"/>
    <tableColumn id="12" xr3:uid="{5F1B3231-E304-48F6-87E1-6513F6E7751A}" name="delivery_time_min"/>
    <tableColumn id="13" xr3:uid="{824B96D1-65DE-4ECC-B14D-EA11D92B2A14}" name="total_delivery_time_min"/>
    <tableColumn id="14" xr3:uid="{88385CA8-50FF-4F86-B7BE-779257BC80D1}" name="distance_km"/>
    <tableColumn id="15" xr3:uid="{87FE7B9F-0AC7-4560-A27E-FC12EB7F2595}" name="rider_id"/>
    <tableColumn id="16" xr3:uid="{BBCDE139-2B41-4BB7-ACDA-125FF3FC760D}" name="order_status"/>
    <tableColumn id="17" xr3:uid="{CF1A9DC5-C841-4844-BED2-FAB75BB14592}" name="customer_rating"/>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6D3968-E12E-41C7-98D4-00A8608D66CC}" name="Table3" displayName="Table3" ref="A1:F9" totalsRowShown="0">
  <autoFilter ref="A1:F9" xr:uid="{FE6D3968-E12E-41C7-98D4-00A8608D66CC}"/>
  <tableColumns count="6">
    <tableColumn id="1" xr3:uid="{019E9E03-8A6B-4B5E-BEE0-D59C45BB213E}" name="store_id"/>
    <tableColumn id="2" xr3:uid="{641EAF5F-FB9A-4C8E-9781-CAAE831B47AF}" name="city"/>
    <tableColumn id="3" xr3:uid="{9A20ACA5-3FFA-4F0E-9475-C7B3E6904D40}" name="store_capacity"/>
    <tableColumn id="4" xr3:uid="{F3B7450A-9B2D-4688-9D6E-2667199FE325}" name="active_riders"/>
    <tableColumn id="5" xr3:uid="{F5E54F21-6D79-4439-9A8E-759742504604}" name="Peak_hour_Order " dataDxfId="26"/>
    <tableColumn id="6" xr3:uid="{1E07F120-03D8-4F8F-BF3D-D3C6865CB301}" name="Peak_hour_Order/ active_rider" dataDxfId="25">
      <calculatedColumnFormula>Table3[[#This Row],[Peak_hour_Order ]]/Table3[[#This Row],[active_riders]]</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A3084E-2D9C-4A87-9626-717563AEA2E2}" name="Delivered_data" displayName="Delivered_data" ref="A1:T230" totalsRowShown="0" headerRowDxfId="24" dataDxfId="22" headerRowBorderDxfId="23" tableBorderDxfId="21" totalsRowBorderDxfId="20">
  <autoFilter ref="A1:T230" xr:uid="{4AA3084E-2D9C-4A87-9626-717563AEA2E2}"/>
  <tableColumns count="20">
    <tableColumn id="1" xr3:uid="{DDEA7545-675F-43B2-A733-08B0C5A15EAF}" name="order_id" dataDxfId="19"/>
    <tableColumn id="2" xr3:uid="{8369F2D1-982E-42CB-A697-86ED8847366B}" name="order_date" dataDxfId="18"/>
    <tableColumn id="18" xr3:uid="{A90652EA-78D2-471B-9398-A489E8174F97}" name="week_start_date" dataDxfId="17">
      <calculatedColumnFormula>Delivered_data[[#This Row],[order_date]]-WEEKDAY(Delivered_data[[#This Row],[order_date]],2)+1</calculatedColumnFormula>
    </tableColumn>
    <tableColumn id="3" xr3:uid="{B0DE17C7-BBC5-4294-85BC-2D63CA6EB6D5}" name="city" dataDxfId="16"/>
    <tableColumn id="4" xr3:uid="{3F3D1F83-17D7-4C2C-9E2D-1AF53433C866}" name="store_id" dataDxfId="15"/>
    <tableColumn id="20" xr3:uid="{EAF616C8-437F-44D9-B1BF-6D66D213A2C0}" name="peak_order/rider" dataDxfId="14">
      <calculatedColumnFormula>_xlfn.XLOOKUP(Delivered_data[[#This Row],[store_id]],blinkit_stores!A:A,blinkit_stores!F:F,"not found")</calculatedColumnFormula>
    </tableColumn>
    <tableColumn id="5" xr3:uid="{CEA201D2-D2C9-4DF4-A6CC-4720DBFE5DE3}" name="order_time" dataDxfId="13"/>
    <tableColumn id="19" xr3:uid="{33BD576F-CAC8-429A-B1B6-565B0BEA5426}" name="peakhour" dataDxfId="12">
      <calculatedColumnFormula>IF(AND(Delivered_data[[#This Row],[order_time]]&gt;=TIME(19,0,0),Delivered_data[[#This Row],[order_time]]&lt;=TIME(22,59,59)),"Peak","Non-Peak")</calculatedColumnFormula>
    </tableColumn>
    <tableColumn id="6" xr3:uid="{0A42EC09-AC8A-4111-9C0E-5610ECD41386}" name="items_count" dataDxfId="11"/>
    <tableColumn id="7" xr3:uid="{AFA9D2C9-D3AF-41C3-BC40-6A2E724CB13C}" name="order_value" dataDxfId="10"/>
    <tableColumn id="8" xr3:uid="{C55A8995-837B-406B-910E-F12C757540DB}" name="picking_time_min" dataDxfId="9"/>
    <tableColumn id="9" xr3:uid="{9B1BB03F-8B86-478D-93CE-6B575DAB771F}" name="packing_time_min" dataDxfId="8"/>
    <tableColumn id="10" xr3:uid="{71EC8687-BB87-4773-BA33-27A3C890C427}" name="rider_assignment_time_min" dataDxfId="7"/>
    <tableColumn id="11" xr3:uid="{06E3E35B-80E2-488D-A032-5413047D65E4}" name="rider_waiting_time_min" dataDxfId="6"/>
    <tableColumn id="12" xr3:uid="{005DAEE1-4037-4EBD-9335-AA5F626C35A5}" name="delivery_time_min" dataDxfId="5"/>
    <tableColumn id="13" xr3:uid="{862EDC11-A3C6-4BA9-A268-18D14EA825B1}" name="total_delivery_time_min" dataDxfId="4"/>
    <tableColumn id="14" xr3:uid="{FBDABDBA-CE47-4437-A0D4-2760139931E0}" name="distance_km" dataDxfId="3"/>
    <tableColumn id="15" xr3:uid="{333E4598-3081-44C8-B174-101873C427E7}" name="rider_id" dataDxfId="2"/>
    <tableColumn id="16" xr3:uid="{6A2093AD-5DE3-4D35-8D07-7B0742CC5BE7}" name="order_status" dataDxfId="1"/>
    <tableColumn id="17" xr3:uid="{F1190C7E-7263-4A67-AE09-9B40A987530B}" name="customer_rating"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014878-0423-48F9-BB26-2443B85B9478}" name="Table5" displayName="Table5" ref="A208:C216" totalsRowShown="0">
  <autoFilter ref="A208:C216" xr:uid="{5B014878-0423-48F9-BB26-2443B85B9478}"/>
  <tableColumns count="3">
    <tableColumn id="1" xr3:uid="{6A86F715-43A5-4E13-B0EB-9A4355B1F654}" name="Row Labels" dataDxfId="31"/>
    <tableColumn id="2" xr3:uid="{E1FBB2C8-28B8-4CFE-9FB2-F6F36774EF31}" name="Average of rider_assignment_time_min" dataDxfId="30"/>
    <tableColumn id="3" xr3:uid="{78233B57-7BA4-42CC-A2AA-2183896EC983}" name="order/rider" dataDxfId="29">
      <calculatedColumnFormula>_xlfn.XLOOKUP(A209,blinkit_stores!A:A,blinkit_stores!F:F,"not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1985-F131-4495-AD8C-09E7D6DD0653}">
  <dimension ref="A1:Q241"/>
  <sheetViews>
    <sheetView workbookViewId="0">
      <selection activeCell="F10" sqref="F10"/>
    </sheetView>
  </sheetViews>
  <sheetFormatPr defaultRowHeight="14.5" x14ac:dyDescent="0.35"/>
  <cols>
    <col min="1" max="1" width="10.54296875" bestFit="1" customWidth="1"/>
    <col min="2" max="2" width="12.1796875" customWidth="1"/>
    <col min="3" max="3" width="7.81640625" bestFit="1" customWidth="1"/>
    <col min="4" max="4" width="9.6328125" customWidth="1"/>
    <col min="5" max="5" width="12.1796875" customWidth="1"/>
    <col min="6" max="6" width="13.08984375" customWidth="1"/>
    <col min="7" max="7" width="12.90625" customWidth="1"/>
    <col min="8" max="8" width="17.453125" customWidth="1"/>
    <col min="9" max="9" width="18" customWidth="1"/>
    <col min="10" max="10" width="26.1796875" customWidth="1"/>
    <col min="11" max="11" width="22.7265625" customWidth="1"/>
    <col min="12" max="12" width="18.26953125" customWidth="1"/>
    <col min="13" max="13" width="23.08984375" customWidth="1"/>
    <col min="14" max="14" width="13.26953125" customWidth="1"/>
    <col min="15" max="15" width="9.36328125" customWidth="1"/>
    <col min="16" max="16" width="13.453125" customWidth="1"/>
    <col min="17" max="17" width="16.4531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s="1">
        <v>46222</v>
      </c>
      <c r="C2" t="s">
        <v>18</v>
      </c>
      <c r="D2" t="s">
        <v>19</v>
      </c>
      <c r="E2" s="2">
        <v>0.30625000000000002</v>
      </c>
      <c r="F2">
        <v>4</v>
      </c>
      <c r="G2">
        <v>462.38</v>
      </c>
      <c r="H2">
        <v>2.9</v>
      </c>
      <c r="I2">
        <v>0.9</v>
      </c>
      <c r="J2">
        <v>0.69</v>
      </c>
      <c r="K2">
        <v>0.51</v>
      </c>
      <c r="L2">
        <v>6.63</v>
      </c>
      <c r="M2">
        <v>11.63</v>
      </c>
      <c r="N2">
        <v>2.74</v>
      </c>
      <c r="O2" t="s">
        <v>20</v>
      </c>
      <c r="P2" t="s">
        <v>21</v>
      </c>
      <c r="Q2">
        <v>4.3</v>
      </c>
    </row>
    <row r="3" spans="1:17" x14ac:dyDescent="0.35">
      <c r="A3" t="s">
        <v>22</v>
      </c>
      <c r="B3" s="1">
        <v>46235</v>
      </c>
      <c r="C3" t="s">
        <v>23</v>
      </c>
      <c r="D3" t="s">
        <v>24</v>
      </c>
      <c r="E3" s="2">
        <v>0.39097222222222222</v>
      </c>
      <c r="F3">
        <v>4</v>
      </c>
      <c r="G3">
        <v>346.91</v>
      </c>
      <c r="H3">
        <v>3.07</v>
      </c>
      <c r="I3">
        <v>0.83</v>
      </c>
      <c r="J3">
        <v>1.47</v>
      </c>
      <c r="K3">
        <v>0.78</v>
      </c>
      <c r="L3">
        <v>4.97</v>
      </c>
      <c r="M3">
        <v>11.12</v>
      </c>
      <c r="N3">
        <v>1.35</v>
      </c>
      <c r="O3" t="s">
        <v>25</v>
      </c>
      <c r="P3" t="s">
        <v>21</v>
      </c>
      <c r="Q3">
        <v>5</v>
      </c>
    </row>
    <row r="4" spans="1:17" x14ac:dyDescent="0.35">
      <c r="A4" t="s">
        <v>26</v>
      </c>
      <c r="B4" s="1">
        <v>46230</v>
      </c>
      <c r="C4" t="s">
        <v>23</v>
      </c>
      <c r="D4" t="s">
        <v>24</v>
      </c>
      <c r="E4" s="2">
        <v>0.89652777777777781</v>
      </c>
      <c r="F4">
        <v>4</v>
      </c>
      <c r="G4">
        <v>395.51</v>
      </c>
      <c r="H4">
        <v>2.82</v>
      </c>
      <c r="I4">
        <v>0.94</v>
      </c>
      <c r="J4">
        <v>1.1200000000000001</v>
      </c>
      <c r="K4">
        <v>0.76</v>
      </c>
      <c r="L4">
        <v>6.66</v>
      </c>
      <c r="M4">
        <v>12.3</v>
      </c>
      <c r="N4">
        <v>2.87</v>
      </c>
      <c r="O4" t="s">
        <v>27</v>
      </c>
      <c r="P4" t="s">
        <v>21</v>
      </c>
      <c r="Q4">
        <v>5</v>
      </c>
    </row>
    <row r="5" spans="1:17" x14ac:dyDescent="0.35">
      <c r="A5" t="s">
        <v>28</v>
      </c>
      <c r="B5" s="1">
        <v>46226</v>
      </c>
      <c r="C5" t="s">
        <v>23</v>
      </c>
      <c r="D5" t="s">
        <v>24</v>
      </c>
      <c r="E5" s="2">
        <v>0.97847222222222219</v>
      </c>
      <c r="F5">
        <v>3</v>
      </c>
      <c r="G5">
        <v>605.94000000000005</v>
      </c>
      <c r="H5">
        <v>2.38</v>
      </c>
      <c r="I5">
        <v>0.75</v>
      </c>
      <c r="J5">
        <v>1.41</v>
      </c>
      <c r="K5">
        <v>0.76</v>
      </c>
      <c r="L5">
        <v>4.62</v>
      </c>
      <c r="M5">
        <v>9.92</v>
      </c>
      <c r="N5">
        <v>0.97</v>
      </c>
      <c r="O5" t="s">
        <v>29</v>
      </c>
      <c r="P5" t="s">
        <v>21</v>
      </c>
      <c r="Q5">
        <v>4.3</v>
      </c>
    </row>
    <row r="6" spans="1:17" x14ac:dyDescent="0.35">
      <c r="A6" t="s">
        <v>30</v>
      </c>
      <c r="B6" s="1">
        <v>46223</v>
      </c>
      <c r="C6" t="s">
        <v>18</v>
      </c>
      <c r="D6" t="s">
        <v>31</v>
      </c>
      <c r="E6" s="2">
        <v>0.97916666666666663</v>
      </c>
      <c r="F6">
        <v>8</v>
      </c>
      <c r="G6">
        <v>800.58</v>
      </c>
      <c r="H6">
        <v>3.8</v>
      </c>
      <c r="I6">
        <v>1.24</v>
      </c>
      <c r="J6">
        <v>0.72</v>
      </c>
      <c r="K6">
        <v>0.77</v>
      </c>
      <c r="L6">
        <v>7.06</v>
      </c>
      <c r="M6">
        <v>13.59</v>
      </c>
      <c r="N6">
        <v>2.96</v>
      </c>
      <c r="O6" t="s">
        <v>20</v>
      </c>
      <c r="P6" t="s">
        <v>21</v>
      </c>
      <c r="Q6">
        <v>5</v>
      </c>
    </row>
    <row r="7" spans="1:17" x14ac:dyDescent="0.35">
      <c r="A7" t="s">
        <v>32</v>
      </c>
      <c r="B7" s="1">
        <v>46236</v>
      </c>
      <c r="C7" t="s">
        <v>23</v>
      </c>
      <c r="D7" t="s">
        <v>24</v>
      </c>
      <c r="E7" s="2">
        <v>0.78888888888888886</v>
      </c>
      <c r="F7">
        <v>6</v>
      </c>
      <c r="G7">
        <v>571.04</v>
      </c>
      <c r="H7">
        <v>3.78</v>
      </c>
      <c r="I7">
        <v>1.03</v>
      </c>
      <c r="J7">
        <v>0.9</v>
      </c>
      <c r="K7">
        <v>0.78</v>
      </c>
      <c r="L7">
        <v>3.77</v>
      </c>
      <c r="M7">
        <v>10.26</v>
      </c>
      <c r="N7">
        <v>1.0900000000000001</v>
      </c>
      <c r="O7" t="s">
        <v>33</v>
      </c>
      <c r="P7" t="s">
        <v>21</v>
      </c>
      <c r="Q7">
        <v>5</v>
      </c>
    </row>
    <row r="8" spans="1:17" x14ac:dyDescent="0.35">
      <c r="A8" t="s">
        <v>34</v>
      </c>
      <c r="B8" s="1">
        <v>46222</v>
      </c>
      <c r="C8" t="s">
        <v>23</v>
      </c>
      <c r="D8" t="s">
        <v>35</v>
      </c>
      <c r="E8" s="2">
        <v>0.66041666666666665</v>
      </c>
      <c r="F8">
        <v>4</v>
      </c>
      <c r="G8">
        <v>284.74</v>
      </c>
      <c r="H8">
        <v>2.63</v>
      </c>
      <c r="I8">
        <v>1.01</v>
      </c>
      <c r="J8">
        <v>0.95</v>
      </c>
      <c r="K8">
        <v>0.75</v>
      </c>
      <c r="L8">
        <v>6.64</v>
      </c>
      <c r="M8">
        <v>11.98</v>
      </c>
      <c r="N8">
        <v>2.7</v>
      </c>
      <c r="O8" t="s">
        <v>36</v>
      </c>
      <c r="P8" t="s">
        <v>21</v>
      </c>
      <c r="Q8">
        <v>5</v>
      </c>
    </row>
    <row r="9" spans="1:17" x14ac:dyDescent="0.35">
      <c r="A9" t="s">
        <v>37</v>
      </c>
      <c r="B9" s="1">
        <v>46241</v>
      </c>
      <c r="C9" t="s">
        <v>23</v>
      </c>
      <c r="D9" t="s">
        <v>35</v>
      </c>
      <c r="E9" s="2">
        <v>0.76666666666666672</v>
      </c>
      <c r="F9">
        <v>6</v>
      </c>
      <c r="G9">
        <v>580.03</v>
      </c>
      <c r="H9">
        <v>2.78</v>
      </c>
      <c r="I9">
        <v>1.02</v>
      </c>
      <c r="J9">
        <v>1.67</v>
      </c>
      <c r="K9">
        <v>0.85</v>
      </c>
      <c r="L9">
        <v>7.67</v>
      </c>
      <c r="M9">
        <v>13.99</v>
      </c>
      <c r="N9">
        <v>2.76</v>
      </c>
      <c r="O9" t="s">
        <v>38</v>
      </c>
      <c r="P9" t="s">
        <v>21</v>
      </c>
      <c r="Q9">
        <v>3.9</v>
      </c>
    </row>
    <row r="10" spans="1:17" x14ac:dyDescent="0.35">
      <c r="A10" t="s">
        <v>39</v>
      </c>
      <c r="B10" s="1">
        <v>46234</v>
      </c>
      <c r="C10" t="s">
        <v>23</v>
      </c>
      <c r="D10" t="s">
        <v>24</v>
      </c>
      <c r="E10" s="2">
        <v>0.48472222222222222</v>
      </c>
      <c r="F10">
        <v>4</v>
      </c>
      <c r="G10">
        <v>715.39</v>
      </c>
      <c r="H10">
        <v>3.07</v>
      </c>
      <c r="I10">
        <v>0.66</v>
      </c>
      <c r="J10">
        <v>0.43</v>
      </c>
      <c r="K10">
        <v>0.89</v>
      </c>
      <c r="L10">
        <v>4.84</v>
      </c>
      <c r="M10">
        <v>9.89</v>
      </c>
      <c r="N10">
        <v>1.57</v>
      </c>
      <c r="O10" t="s">
        <v>40</v>
      </c>
      <c r="P10" t="s">
        <v>21</v>
      </c>
      <c r="Q10">
        <v>4.4000000000000004</v>
      </c>
    </row>
    <row r="11" spans="1:17" x14ac:dyDescent="0.35">
      <c r="A11" t="s">
        <v>41</v>
      </c>
      <c r="B11" s="1">
        <v>46238</v>
      </c>
      <c r="C11" t="s">
        <v>18</v>
      </c>
      <c r="D11" t="s">
        <v>42</v>
      </c>
      <c r="E11" s="2">
        <v>7.7777777777777779E-2</v>
      </c>
      <c r="F11">
        <v>7</v>
      </c>
      <c r="G11">
        <v>390.24</v>
      </c>
      <c r="H11">
        <v>3.3</v>
      </c>
      <c r="I11">
        <v>1.26</v>
      </c>
      <c r="J11">
        <v>1.27</v>
      </c>
      <c r="K11">
        <v>0.73</v>
      </c>
      <c r="L11">
        <v>7.11</v>
      </c>
      <c r="M11">
        <v>13.67</v>
      </c>
      <c r="N11">
        <v>2.72</v>
      </c>
      <c r="O11" t="s">
        <v>25</v>
      </c>
      <c r="P11" t="s">
        <v>21</v>
      </c>
      <c r="Q11">
        <v>4.5</v>
      </c>
    </row>
    <row r="12" spans="1:17" x14ac:dyDescent="0.35">
      <c r="A12" t="s">
        <v>43</v>
      </c>
      <c r="B12" s="1">
        <v>46226</v>
      </c>
      <c r="C12" t="s">
        <v>23</v>
      </c>
      <c r="D12" t="s">
        <v>24</v>
      </c>
      <c r="E12" s="2">
        <v>6.9444444444444447E-4</v>
      </c>
      <c r="F12">
        <v>5</v>
      </c>
      <c r="G12">
        <v>475.88</v>
      </c>
      <c r="H12">
        <v>2.14</v>
      </c>
      <c r="I12">
        <v>0.84</v>
      </c>
      <c r="J12">
        <v>1.58</v>
      </c>
      <c r="K12">
        <v>0.67</v>
      </c>
      <c r="L12">
        <v>6.06</v>
      </c>
      <c r="M12">
        <v>11.29</v>
      </c>
      <c r="N12">
        <v>2.4300000000000002</v>
      </c>
      <c r="O12" t="s">
        <v>44</v>
      </c>
      <c r="P12" t="s">
        <v>21</v>
      </c>
      <c r="Q12">
        <v>5</v>
      </c>
    </row>
    <row r="13" spans="1:17" x14ac:dyDescent="0.35">
      <c r="A13" t="s">
        <v>45</v>
      </c>
      <c r="B13" s="1">
        <v>46226</v>
      </c>
      <c r="C13" t="s">
        <v>46</v>
      </c>
      <c r="D13" t="s">
        <v>47</v>
      </c>
      <c r="E13" s="2">
        <v>0.44513888888888886</v>
      </c>
      <c r="F13">
        <v>6</v>
      </c>
      <c r="G13">
        <v>502.64</v>
      </c>
      <c r="H13">
        <v>3.42</v>
      </c>
      <c r="I13">
        <v>0.95</v>
      </c>
      <c r="J13">
        <v>0.39</v>
      </c>
      <c r="K13">
        <v>0.64</v>
      </c>
      <c r="L13">
        <v>5.78</v>
      </c>
      <c r="M13">
        <v>11.18</v>
      </c>
      <c r="N13">
        <v>1.72</v>
      </c>
      <c r="O13" t="s">
        <v>48</v>
      </c>
      <c r="P13" t="s">
        <v>21</v>
      </c>
      <c r="Q13">
        <v>5</v>
      </c>
    </row>
    <row r="14" spans="1:17" x14ac:dyDescent="0.35">
      <c r="A14" t="s">
        <v>49</v>
      </c>
      <c r="B14" s="1">
        <v>46239</v>
      </c>
      <c r="C14" t="s">
        <v>23</v>
      </c>
      <c r="D14" t="s">
        <v>50</v>
      </c>
      <c r="E14" s="2">
        <v>0.15208333333333332</v>
      </c>
      <c r="F14">
        <v>6</v>
      </c>
      <c r="G14">
        <v>358.72</v>
      </c>
      <c r="H14">
        <v>2.93</v>
      </c>
      <c r="I14">
        <v>0.96</v>
      </c>
      <c r="J14">
        <v>1.18</v>
      </c>
      <c r="K14">
        <v>0.95</v>
      </c>
      <c r="L14">
        <v>5.08</v>
      </c>
      <c r="M14">
        <v>11.1</v>
      </c>
      <c r="N14">
        <v>1.29</v>
      </c>
      <c r="O14" t="s">
        <v>51</v>
      </c>
      <c r="P14" t="s">
        <v>21</v>
      </c>
      <c r="Q14">
        <v>5</v>
      </c>
    </row>
    <row r="15" spans="1:17" x14ac:dyDescent="0.35">
      <c r="A15" t="s">
        <v>52</v>
      </c>
      <c r="B15" s="1">
        <v>46236</v>
      </c>
      <c r="C15" t="s">
        <v>23</v>
      </c>
      <c r="D15" t="s">
        <v>24</v>
      </c>
      <c r="E15" s="2">
        <v>0.59305555555555556</v>
      </c>
      <c r="F15">
        <v>5</v>
      </c>
      <c r="G15">
        <v>616.69000000000005</v>
      </c>
      <c r="H15">
        <v>2.87</v>
      </c>
      <c r="I15">
        <v>1.1100000000000001</v>
      </c>
      <c r="J15">
        <v>0.76</v>
      </c>
      <c r="K15">
        <v>0.72</v>
      </c>
      <c r="L15">
        <v>4.38</v>
      </c>
      <c r="M15">
        <v>9.84</v>
      </c>
      <c r="N15">
        <v>0.43</v>
      </c>
      <c r="O15" t="s">
        <v>53</v>
      </c>
      <c r="P15" t="s">
        <v>21</v>
      </c>
      <c r="Q15">
        <v>4.9000000000000004</v>
      </c>
    </row>
    <row r="16" spans="1:17" x14ac:dyDescent="0.35">
      <c r="A16" t="s">
        <v>54</v>
      </c>
      <c r="B16" s="1">
        <v>46219</v>
      </c>
      <c r="C16" t="s">
        <v>23</v>
      </c>
      <c r="D16" t="s">
        <v>24</v>
      </c>
      <c r="E16" s="2">
        <v>0.8666666666666667</v>
      </c>
      <c r="F16">
        <v>3</v>
      </c>
      <c r="G16">
        <v>478.23</v>
      </c>
      <c r="H16">
        <v>2.58</v>
      </c>
      <c r="I16">
        <v>0.53</v>
      </c>
      <c r="J16">
        <v>1.8</v>
      </c>
      <c r="K16">
        <v>0.78</v>
      </c>
      <c r="L16">
        <v>7.23</v>
      </c>
      <c r="M16">
        <v>12.92</v>
      </c>
      <c r="N16">
        <v>2.76</v>
      </c>
      <c r="O16" t="s">
        <v>44</v>
      </c>
      <c r="P16" t="s">
        <v>21</v>
      </c>
      <c r="Q16">
        <v>4.2</v>
      </c>
    </row>
    <row r="17" spans="1:17" x14ac:dyDescent="0.35">
      <c r="A17" t="s">
        <v>55</v>
      </c>
      <c r="B17" s="1">
        <v>46223</v>
      </c>
      <c r="C17" t="s">
        <v>23</v>
      </c>
      <c r="D17" t="s">
        <v>35</v>
      </c>
      <c r="E17" s="2">
        <v>0.26666666666666666</v>
      </c>
      <c r="F17">
        <v>6</v>
      </c>
      <c r="G17">
        <v>575.52</v>
      </c>
      <c r="H17">
        <v>3.19</v>
      </c>
      <c r="I17">
        <v>1.41</v>
      </c>
      <c r="J17">
        <v>1.23</v>
      </c>
      <c r="K17">
        <v>0.82</v>
      </c>
      <c r="L17">
        <v>4.29</v>
      </c>
      <c r="M17">
        <v>10.94</v>
      </c>
      <c r="N17">
        <v>0.79</v>
      </c>
      <c r="O17" t="s">
        <v>56</v>
      </c>
      <c r="P17" t="s">
        <v>21</v>
      </c>
      <c r="Q17">
        <v>5</v>
      </c>
    </row>
    <row r="18" spans="1:17" x14ac:dyDescent="0.35">
      <c r="A18" t="s">
        <v>57</v>
      </c>
      <c r="B18" s="1">
        <v>46239</v>
      </c>
      <c r="C18" t="s">
        <v>46</v>
      </c>
      <c r="D18" t="s">
        <v>58</v>
      </c>
      <c r="E18" s="2">
        <v>0.99027777777777781</v>
      </c>
      <c r="F18">
        <v>5</v>
      </c>
      <c r="G18">
        <v>340.25</v>
      </c>
      <c r="H18">
        <v>3.15</v>
      </c>
      <c r="I18">
        <v>1.08</v>
      </c>
      <c r="J18">
        <v>0.89</v>
      </c>
      <c r="K18">
        <v>0.83</v>
      </c>
      <c r="L18">
        <v>6.3</v>
      </c>
      <c r="M18">
        <v>12.25</v>
      </c>
      <c r="N18">
        <v>2.29</v>
      </c>
      <c r="O18" t="s">
        <v>59</v>
      </c>
      <c r="P18" t="s">
        <v>21</v>
      </c>
      <c r="Q18">
        <v>4.3</v>
      </c>
    </row>
    <row r="19" spans="1:17" x14ac:dyDescent="0.35">
      <c r="A19" t="s">
        <v>60</v>
      </c>
      <c r="B19" s="1">
        <v>46218</v>
      </c>
      <c r="C19" t="s">
        <v>18</v>
      </c>
      <c r="D19" t="s">
        <v>42</v>
      </c>
      <c r="E19" s="2">
        <v>0.80069444444444449</v>
      </c>
      <c r="F19">
        <v>7</v>
      </c>
      <c r="G19">
        <v>421.26</v>
      </c>
      <c r="H19">
        <v>3.19</v>
      </c>
      <c r="I19">
        <v>1.1399999999999999</v>
      </c>
      <c r="J19">
        <v>1.82</v>
      </c>
      <c r="K19">
        <v>0.51</v>
      </c>
      <c r="L19">
        <v>7.19</v>
      </c>
      <c r="M19">
        <v>13.85</v>
      </c>
      <c r="N19">
        <v>2.21</v>
      </c>
      <c r="O19" t="s">
        <v>61</v>
      </c>
      <c r="P19" t="s">
        <v>21</v>
      </c>
      <c r="Q19">
        <v>5</v>
      </c>
    </row>
    <row r="20" spans="1:17" x14ac:dyDescent="0.35">
      <c r="A20" t="s">
        <v>62</v>
      </c>
      <c r="B20" s="1">
        <v>46237</v>
      </c>
      <c r="C20" t="s">
        <v>18</v>
      </c>
      <c r="D20" t="s">
        <v>19</v>
      </c>
      <c r="E20" s="2">
        <v>0.74722222222222223</v>
      </c>
      <c r="F20">
        <v>5</v>
      </c>
      <c r="G20">
        <v>630.03</v>
      </c>
      <c r="H20">
        <v>3.08</v>
      </c>
      <c r="I20">
        <v>0.94</v>
      </c>
      <c r="J20">
        <v>1.74</v>
      </c>
      <c r="K20">
        <v>1.22</v>
      </c>
      <c r="L20">
        <v>6.66</v>
      </c>
      <c r="M20">
        <v>13.64</v>
      </c>
      <c r="N20">
        <v>2.81</v>
      </c>
      <c r="O20" t="s">
        <v>63</v>
      </c>
      <c r="P20" t="s">
        <v>21</v>
      </c>
      <c r="Q20">
        <v>4.4000000000000004</v>
      </c>
    </row>
    <row r="21" spans="1:17" x14ac:dyDescent="0.35">
      <c r="A21" t="s">
        <v>64</v>
      </c>
      <c r="B21" s="1">
        <v>46236</v>
      </c>
      <c r="C21" t="s">
        <v>18</v>
      </c>
      <c r="D21" t="s">
        <v>19</v>
      </c>
      <c r="E21" s="2">
        <v>0.50624999999999998</v>
      </c>
      <c r="F21">
        <v>6</v>
      </c>
      <c r="G21">
        <v>432.89</v>
      </c>
      <c r="H21">
        <v>3.03</v>
      </c>
      <c r="I21">
        <v>1.06</v>
      </c>
      <c r="J21">
        <v>0.92</v>
      </c>
      <c r="K21">
        <v>1.04</v>
      </c>
      <c r="L21">
        <v>6.1</v>
      </c>
      <c r="M21">
        <v>12.15</v>
      </c>
      <c r="N21">
        <v>1.93</v>
      </c>
      <c r="O21" t="s">
        <v>65</v>
      </c>
      <c r="P21" t="s">
        <v>21</v>
      </c>
      <c r="Q21">
        <v>5</v>
      </c>
    </row>
    <row r="22" spans="1:17" x14ac:dyDescent="0.35">
      <c r="A22" t="s">
        <v>66</v>
      </c>
      <c r="B22" s="1">
        <v>46217</v>
      </c>
      <c r="C22" t="s">
        <v>23</v>
      </c>
      <c r="D22" t="s">
        <v>35</v>
      </c>
      <c r="E22" s="2">
        <v>0.99930555555555556</v>
      </c>
      <c r="F22">
        <v>1</v>
      </c>
      <c r="G22">
        <v>810.85</v>
      </c>
      <c r="H22">
        <v>2.2799999999999998</v>
      </c>
      <c r="I22">
        <v>0.69</v>
      </c>
      <c r="J22">
        <v>1.35</v>
      </c>
      <c r="K22">
        <v>0.32</v>
      </c>
      <c r="L22">
        <v>5.54</v>
      </c>
      <c r="M22">
        <v>10.18</v>
      </c>
      <c r="N22">
        <v>1.9</v>
      </c>
      <c r="O22" t="s">
        <v>67</v>
      </c>
      <c r="P22" t="s">
        <v>21</v>
      </c>
      <c r="Q22">
        <v>5</v>
      </c>
    </row>
    <row r="23" spans="1:17" x14ac:dyDescent="0.35">
      <c r="A23" t="s">
        <v>68</v>
      </c>
      <c r="B23" s="1">
        <v>46239</v>
      </c>
      <c r="C23" t="s">
        <v>18</v>
      </c>
      <c r="D23" t="s">
        <v>19</v>
      </c>
      <c r="E23" s="2">
        <v>0.17083333333333334</v>
      </c>
      <c r="F23">
        <v>9</v>
      </c>
      <c r="G23">
        <v>428.07</v>
      </c>
      <c r="H23">
        <v>4</v>
      </c>
      <c r="I23">
        <v>1.35</v>
      </c>
      <c r="J23">
        <v>0.66</v>
      </c>
      <c r="K23">
        <v>1.03</v>
      </c>
      <c r="L23">
        <v>7.1</v>
      </c>
      <c r="M23">
        <v>14.14</v>
      </c>
      <c r="N23">
        <v>2.86</v>
      </c>
      <c r="O23" t="s">
        <v>69</v>
      </c>
      <c r="P23" t="s">
        <v>21</v>
      </c>
      <c r="Q23">
        <v>4.4000000000000004</v>
      </c>
    </row>
    <row r="24" spans="1:17" x14ac:dyDescent="0.35">
      <c r="A24" t="s">
        <v>70</v>
      </c>
      <c r="B24" s="1">
        <v>46227</v>
      </c>
      <c r="C24" t="s">
        <v>23</v>
      </c>
      <c r="D24" t="s">
        <v>50</v>
      </c>
      <c r="E24" s="2">
        <v>0.57986111111111116</v>
      </c>
      <c r="F24">
        <v>6</v>
      </c>
      <c r="G24">
        <v>540.44000000000005</v>
      </c>
      <c r="H24">
        <v>2.79</v>
      </c>
      <c r="I24">
        <v>1.1000000000000001</v>
      </c>
      <c r="J24">
        <v>0.54</v>
      </c>
      <c r="K24">
        <v>0.57999999999999996</v>
      </c>
      <c r="L24">
        <v>6.63</v>
      </c>
      <c r="M24">
        <v>11.64</v>
      </c>
      <c r="N24">
        <v>2.5</v>
      </c>
      <c r="O24" t="s">
        <v>71</v>
      </c>
      <c r="P24" t="s">
        <v>21</v>
      </c>
      <c r="Q24">
        <v>4.5999999999999996</v>
      </c>
    </row>
    <row r="25" spans="1:17" x14ac:dyDescent="0.35">
      <c r="A25" t="s">
        <v>72</v>
      </c>
      <c r="B25" s="1">
        <v>46221</v>
      </c>
      <c r="C25" t="s">
        <v>18</v>
      </c>
      <c r="D25" t="s">
        <v>42</v>
      </c>
      <c r="E25" s="2">
        <v>0.14027777777777778</v>
      </c>
      <c r="F25">
        <v>8</v>
      </c>
      <c r="G25">
        <v>667.87</v>
      </c>
      <c r="H25">
        <v>3.94</v>
      </c>
      <c r="I25">
        <v>1.2</v>
      </c>
      <c r="J25">
        <v>0.92</v>
      </c>
      <c r="K25">
        <v>0.6</v>
      </c>
      <c r="L25">
        <v>6.68</v>
      </c>
      <c r="M25">
        <v>13.34</v>
      </c>
      <c r="N25">
        <v>2.48</v>
      </c>
      <c r="O25" t="s">
        <v>73</v>
      </c>
      <c r="P25" t="s">
        <v>21</v>
      </c>
      <c r="Q25">
        <v>4.4000000000000004</v>
      </c>
    </row>
    <row r="26" spans="1:17" x14ac:dyDescent="0.35">
      <c r="A26" t="s">
        <v>74</v>
      </c>
      <c r="B26" s="1">
        <v>46217</v>
      </c>
      <c r="C26" t="s">
        <v>23</v>
      </c>
      <c r="D26" t="s">
        <v>24</v>
      </c>
      <c r="E26" s="2">
        <v>0.83819444444444446</v>
      </c>
      <c r="F26">
        <v>3</v>
      </c>
      <c r="G26">
        <v>244.69</v>
      </c>
      <c r="H26">
        <v>2.27</v>
      </c>
      <c r="I26">
        <v>0.77</v>
      </c>
      <c r="J26">
        <v>2.17</v>
      </c>
      <c r="K26">
        <v>0.85</v>
      </c>
      <c r="L26">
        <v>7.43</v>
      </c>
      <c r="M26">
        <v>13.49</v>
      </c>
      <c r="N26">
        <v>2.87</v>
      </c>
      <c r="O26" t="s">
        <v>53</v>
      </c>
      <c r="P26" t="s">
        <v>21</v>
      </c>
      <c r="Q26">
        <v>4.8</v>
      </c>
    </row>
    <row r="27" spans="1:17" x14ac:dyDescent="0.35">
      <c r="A27" t="s">
        <v>75</v>
      </c>
      <c r="B27" s="1">
        <v>46243</v>
      </c>
      <c r="C27" t="s">
        <v>23</v>
      </c>
      <c r="D27" t="s">
        <v>24</v>
      </c>
      <c r="E27" s="2">
        <v>8.4722222222222227E-2</v>
      </c>
      <c r="F27">
        <v>1</v>
      </c>
      <c r="G27">
        <v>183.05</v>
      </c>
      <c r="H27">
        <v>2.2999999999999998</v>
      </c>
      <c r="I27">
        <v>0.61</v>
      </c>
      <c r="J27">
        <v>1.23</v>
      </c>
      <c r="K27">
        <v>0.87</v>
      </c>
      <c r="L27">
        <v>4.09</v>
      </c>
      <c r="M27">
        <v>9.1</v>
      </c>
      <c r="N27">
        <v>0.82</v>
      </c>
      <c r="O27" t="s">
        <v>76</v>
      </c>
      <c r="P27" t="s">
        <v>21</v>
      </c>
      <c r="Q27">
        <v>5</v>
      </c>
    </row>
    <row r="28" spans="1:17" x14ac:dyDescent="0.35">
      <c r="A28" t="s">
        <v>77</v>
      </c>
      <c r="B28" s="1">
        <v>46236</v>
      </c>
      <c r="C28" t="s">
        <v>23</v>
      </c>
      <c r="D28" t="s">
        <v>35</v>
      </c>
      <c r="E28" s="2">
        <v>0.27777777777777779</v>
      </c>
      <c r="F28">
        <v>6</v>
      </c>
      <c r="G28">
        <v>225.38</v>
      </c>
      <c r="H28">
        <v>3.25</v>
      </c>
      <c r="I28">
        <v>1.01</v>
      </c>
      <c r="J28">
        <v>1.23</v>
      </c>
      <c r="K28">
        <v>0.65</v>
      </c>
      <c r="L28">
        <v>8.0299999999999994</v>
      </c>
      <c r="M28">
        <v>14.17</v>
      </c>
      <c r="N28">
        <v>2.88</v>
      </c>
      <c r="O28" t="s">
        <v>36</v>
      </c>
      <c r="P28" t="s">
        <v>21</v>
      </c>
      <c r="Q28">
        <v>4.2</v>
      </c>
    </row>
    <row r="29" spans="1:17" x14ac:dyDescent="0.35">
      <c r="A29" t="s">
        <v>78</v>
      </c>
      <c r="B29" s="1">
        <v>46216</v>
      </c>
      <c r="C29" t="s">
        <v>23</v>
      </c>
      <c r="D29" t="s">
        <v>35</v>
      </c>
      <c r="E29" s="2">
        <v>0.53194444444444444</v>
      </c>
      <c r="F29">
        <v>5</v>
      </c>
      <c r="G29">
        <v>727.27</v>
      </c>
      <c r="H29">
        <v>3.54</v>
      </c>
      <c r="I29">
        <v>1.0900000000000001</v>
      </c>
      <c r="J29">
        <v>1.1000000000000001</v>
      </c>
      <c r="K29">
        <v>0.43</v>
      </c>
      <c r="L29">
        <v>7.5</v>
      </c>
      <c r="M29">
        <v>13.66</v>
      </c>
      <c r="N29">
        <v>2.75</v>
      </c>
      <c r="O29" t="s">
        <v>79</v>
      </c>
      <c r="P29" t="s">
        <v>21</v>
      </c>
      <c r="Q29">
        <v>4.5</v>
      </c>
    </row>
    <row r="30" spans="1:17" x14ac:dyDescent="0.35">
      <c r="A30" t="s">
        <v>80</v>
      </c>
      <c r="B30" s="1">
        <v>46227</v>
      </c>
      <c r="C30" t="s">
        <v>23</v>
      </c>
      <c r="D30" t="s">
        <v>35</v>
      </c>
      <c r="E30" s="2">
        <v>0.20347222222222222</v>
      </c>
      <c r="F30">
        <v>5</v>
      </c>
      <c r="G30">
        <v>400.67</v>
      </c>
      <c r="H30">
        <v>2.82</v>
      </c>
      <c r="I30">
        <v>1.02</v>
      </c>
      <c r="J30">
        <v>0.78</v>
      </c>
      <c r="K30">
        <v>0.51</v>
      </c>
      <c r="L30">
        <v>5.16</v>
      </c>
      <c r="M30">
        <v>10.29</v>
      </c>
      <c r="N30">
        <v>1.28</v>
      </c>
      <c r="O30" t="s">
        <v>81</v>
      </c>
      <c r="P30" t="s">
        <v>21</v>
      </c>
      <c r="Q30">
        <v>5</v>
      </c>
    </row>
    <row r="31" spans="1:17" x14ac:dyDescent="0.35">
      <c r="A31" t="s">
        <v>82</v>
      </c>
      <c r="B31" s="1">
        <v>46241</v>
      </c>
      <c r="C31" t="s">
        <v>23</v>
      </c>
      <c r="D31" t="s">
        <v>24</v>
      </c>
      <c r="E31" s="2">
        <v>0.19375000000000001</v>
      </c>
      <c r="F31">
        <v>3</v>
      </c>
      <c r="G31">
        <v>960.48</v>
      </c>
      <c r="H31">
        <v>2.34</v>
      </c>
      <c r="I31">
        <v>0.44</v>
      </c>
      <c r="J31">
        <v>1.32</v>
      </c>
      <c r="K31">
        <v>0.76</v>
      </c>
      <c r="L31">
        <v>5.52</v>
      </c>
      <c r="M31">
        <v>10.38</v>
      </c>
      <c r="N31">
        <v>1.98</v>
      </c>
      <c r="O31" t="s">
        <v>83</v>
      </c>
      <c r="P31" t="s">
        <v>21</v>
      </c>
      <c r="Q31">
        <v>4</v>
      </c>
    </row>
    <row r="32" spans="1:17" x14ac:dyDescent="0.35">
      <c r="A32" t="s">
        <v>84</v>
      </c>
      <c r="B32" s="1">
        <v>46237</v>
      </c>
      <c r="C32" t="s">
        <v>46</v>
      </c>
      <c r="D32" t="s">
        <v>47</v>
      </c>
      <c r="E32" s="2">
        <v>0.61319444444444449</v>
      </c>
      <c r="F32">
        <v>4</v>
      </c>
      <c r="G32">
        <v>398.44</v>
      </c>
      <c r="H32">
        <v>2.67</v>
      </c>
      <c r="I32">
        <v>0.95</v>
      </c>
      <c r="J32">
        <v>1.42</v>
      </c>
      <c r="K32">
        <v>0.9</v>
      </c>
      <c r="L32">
        <v>5.56</v>
      </c>
      <c r="M32">
        <v>11.5</v>
      </c>
      <c r="N32">
        <v>2.16</v>
      </c>
      <c r="O32" t="s">
        <v>85</v>
      </c>
      <c r="P32" t="s">
        <v>21</v>
      </c>
      <c r="Q32">
        <v>5</v>
      </c>
    </row>
    <row r="33" spans="1:17" x14ac:dyDescent="0.35">
      <c r="A33" t="s">
        <v>86</v>
      </c>
      <c r="B33" s="1">
        <v>46227</v>
      </c>
      <c r="C33" t="s">
        <v>23</v>
      </c>
      <c r="D33" t="s">
        <v>24</v>
      </c>
      <c r="E33" s="2">
        <v>0.13680555555555557</v>
      </c>
      <c r="F33">
        <v>4</v>
      </c>
      <c r="G33">
        <v>533.22</v>
      </c>
      <c r="H33">
        <v>2.57</v>
      </c>
      <c r="I33">
        <v>0.89</v>
      </c>
      <c r="J33">
        <v>0.71</v>
      </c>
      <c r="K33">
        <v>0.54</v>
      </c>
      <c r="L33">
        <v>6.45</v>
      </c>
      <c r="M33">
        <v>11.16</v>
      </c>
      <c r="N33">
        <v>2.08</v>
      </c>
      <c r="O33" t="s">
        <v>87</v>
      </c>
      <c r="P33" t="s">
        <v>21</v>
      </c>
      <c r="Q33">
        <v>4.4000000000000004</v>
      </c>
    </row>
    <row r="34" spans="1:17" x14ac:dyDescent="0.35">
      <c r="A34" t="s">
        <v>88</v>
      </c>
      <c r="B34" s="1">
        <v>46240</v>
      </c>
      <c r="C34" t="s">
        <v>23</v>
      </c>
      <c r="D34" t="s">
        <v>24</v>
      </c>
      <c r="E34" s="2">
        <v>0.68125000000000002</v>
      </c>
      <c r="F34">
        <v>4</v>
      </c>
      <c r="G34">
        <v>777.58</v>
      </c>
      <c r="H34">
        <v>2.96</v>
      </c>
      <c r="I34">
        <v>0.87</v>
      </c>
      <c r="J34">
        <v>0.95</v>
      </c>
      <c r="K34">
        <v>1.03</v>
      </c>
      <c r="L34">
        <v>7.06</v>
      </c>
      <c r="M34">
        <v>12.87</v>
      </c>
      <c r="N34">
        <v>2.5</v>
      </c>
      <c r="O34" t="s">
        <v>87</v>
      </c>
      <c r="P34" t="s">
        <v>21</v>
      </c>
      <c r="Q34">
        <v>4.0999999999999996</v>
      </c>
    </row>
    <row r="35" spans="1:17" x14ac:dyDescent="0.35">
      <c r="A35" t="s">
        <v>89</v>
      </c>
      <c r="B35" s="1">
        <v>46232</v>
      </c>
      <c r="C35" t="s">
        <v>18</v>
      </c>
      <c r="D35" t="s">
        <v>31</v>
      </c>
      <c r="E35" s="2">
        <v>0.52152777777777781</v>
      </c>
      <c r="F35">
        <v>4</v>
      </c>
      <c r="G35">
        <v>861.1</v>
      </c>
      <c r="H35">
        <v>2.11</v>
      </c>
      <c r="I35">
        <v>0.82</v>
      </c>
      <c r="J35">
        <v>1.43</v>
      </c>
      <c r="K35">
        <v>1.06</v>
      </c>
      <c r="L35">
        <v>8.92</v>
      </c>
      <c r="M35">
        <v>14.34</v>
      </c>
      <c r="N35">
        <v>3.49</v>
      </c>
      <c r="O35" t="s">
        <v>90</v>
      </c>
      <c r="P35" t="s">
        <v>21</v>
      </c>
      <c r="Q35">
        <v>3.7</v>
      </c>
    </row>
    <row r="36" spans="1:17" x14ac:dyDescent="0.35">
      <c r="A36" t="s">
        <v>91</v>
      </c>
      <c r="B36" s="1">
        <v>46242</v>
      </c>
      <c r="C36" t="s">
        <v>46</v>
      </c>
      <c r="D36" t="s">
        <v>47</v>
      </c>
      <c r="E36" s="2">
        <v>9.930555555555555E-2</v>
      </c>
      <c r="F36">
        <v>3</v>
      </c>
      <c r="G36">
        <v>871.07</v>
      </c>
      <c r="H36">
        <v>2.09</v>
      </c>
      <c r="I36">
        <v>0.92</v>
      </c>
      <c r="J36">
        <v>0.96</v>
      </c>
      <c r="K36">
        <v>0.81</v>
      </c>
      <c r="L36">
        <v>7.28</v>
      </c>
      <c r="M36">
        <v>12.06</v>
      </c>
      <c r="N36">
        <v>3.17</v>
      </c>
      <c r="O36" t="s">
        <v>81</v>
      </c>
      <c r="P36" t="s">
        <v>21</v>
      </c>
      <c r="Q36">
        <v>3.9</v>
      </c>
    </row>
    <row r="37" spans="1:17" x14ac:dyDescent="0.35">
      <c r="A37" t="s">
        <v>92</v>
      </c>
      <c r="B37" s="1">
        <v>46242</v>
      </c>
      <c r="C37" t="s">
        <v>23</v>
      </c>
      <c r="D37" t="s">
        <v>24</v>
      </c>
      <c r="E37" s="2">
        <v>0.42222222222222222</v>
      </c>
      <c r="F37">
        <v>6</v>
      </c>
      <c r="G37">
        <v>717.51</v>
      </c>
      <c r="H37">
        <v>2.75</v>
      </c>
      <c r="I37">
        <v>1.1399999999999999</v>
      </c>
      <c r="J37">
        <v>1.0900000000000001</v>
      </c>
      <c r="K37">
        <v>0.95</v>
      </c>
      <c r="L37">
        <v>4.1500000000000004</v>
      </c>
      <c r="M37">
        <v>10.08</v>
      </c>
      <c r="N37">
        <v>1.02</v>
      </c>
      <c r="O37" t="s">
        <v>20</v>
      </c>
      <c r="P37" t="s">
        <v>21</v>
      </c>
      <c r="Q37">
        <v>4.4000000000000004</v>
      </c>
    </row>
    <row r="38" spans="1:17" x14ac:dyDescent="0.35">
      <c r="A38" t="s">
        <v>93</v>
      </c>
      <c r="B38" s="1">
        <v>46225</v>
      </c>
      <c r="C38" t="s">
        <v>18</v>
      </c>
      <c r="D38" t="s">
        <v>31</v>
      </c>
      <c r="E38" s="2">
        <v>0.85</v>
      </c>
      <c r="F38">
        <v>5</v>
      </c>
      <c r="G38">
        <v>684.33</v>
      </c>
      <c r="H38">
        <v>3.23</v>
      </c>
      <c r="I38">
        <v>0.86</v>
      </c>
      <c r="J38">
        <v>2.85</v>
      </c>
      <c r="K38">
        <v>1.01</v>
      </c>
      <c r="L38">
        <v>6.81</v>
      </c>
      <c r="M38">
        <v>14.76</v>
      </c>
      <c r="N38">
        <v>3.01</v>
      </c>
      <c r="O38" t="s">
        <v>79</v>
      </c>
      <c r="P38" t="s">
        <v>21</v>
      </c>
      <c r="Q38">
        <v>4.0999999999999996</v>
      </c>
    </row>
    <row r="39" spans="1:17" x14ac:dyDescent="0.35">
      <c r="A39" t="s">
        <v>94</v>
      </c>
      <c r="B39" s="1">
        <v>46243</v>
      </c>
      <c r="C39" t="s">
        <v>18</v>
      </c>
      <c r="D39" t="s">
        <v>19</v>
      </c>
      <c r="E39" s="2">
        <v>0.79652777777777772</v>
      </c>
      <c r="F39">
        <v>4</v>
      </c>
      <c r="G39">
        <v>606.65</v>
      </c>
      <c r="H39">
        <v>3.28</v>
      </c>
      <c r="I39">
        <v>0.92</v>
      </c>
      <c r="J39">
        <v>1.92</v>
      </c>
      <c r="K39">
        <v>1.24</v>
      </c>
      <c r="L39">
        <v>8.49</v>
      </c>
      <c r="M39">
        <v>15.85</v>
      </c>
      <c r="N39">
        <v>3.65</v>
      </c>
      <c r="O39" t="s">
        <v>95</v>
      </c>
      <c r="P39" t="s">
        <v>21</v>
      </c>
      <c r="Q39">
        <v>5</v>
      </c>
    </row>
    <row r="40" spans="1:17" x14ac:dyDescent="0.35">
      <c r="A40" t="s">
        <v>96</v>
      </c>
      <c r="B40" s="1">
        <v>46243</v>
      </c>
      <c r="C40" t="s">
        <v>23</v>
      </c>
      <c r="D40" t="s">
        <v>35</v>
      </c>
      <c r="E40" s="2">
        <v>0.12916666666666668</v>
      </c>
      <c r="F40">
        <v>4</v>
      </c>
      <c r="G40">
        <v>640.1</v>
      </c>
      <c r="H40">
        <v>2.64</v>
      </c>
      <c r="I40">
        <v>0.75</v>
      </c>
      <c r="J40">
        <v>1.33</v>
      </c>
      <c r="K40">
        <v>0.92</v>
      </c>
      <c r="L40">
        <v>7.2</v>
      </c>
      <c r="M40">
        <v>12.84</v>
      </c>
      <c r="N40">
        <v>2.5499999999999998</v>
      </c>
      <c r="O40" t="s">
        <v>97</v>
      </c>
      <c r="P40" t="s">
        <v>21</v>
      </c>
      <c r="Q40">
        <v>4.4000000000000004</v>
      </c>
    </row>
    <row r="41" spans="1:17" x14ac:dyDescent="0.35">
      <c r="A41" t="s">
        <v>98</v>
      </c>
      <c r="B41" s="1">
        <v>46231</v>
      </c>
      <c r="C41" t="s">
        <v>46</v>
      </c>
      <c r="D41" t="s">
        <v>58</v>
      </c>
      <c r="E41" s="2">
        <v>0.93680555555555556</v>
      </c>
      <c r="F41">
        <v>4</v>
      </c>
      <c r="G41">
        <v>400.79</v>
      </c>
      <c r="H41">
        <v>2.62</v>
      </c>
      <c r="I41">
        <v>0.7</v>
      </c>
      <c r="J41">
        <v>1.66</v>
      </c>
      <c r="K41">
        <v>1.17</v>
      </c>
      <c r="L41">
        <v>8.11</v>
      </c>
      <c r="M41">
        <v>14.26</v>
      </c>
      <c r="N41">
        <v>3.43</v>
      </c>
      <c r="O41" t="s">
        <v>99</v>
      </c>
      <c r="P41" t="s">
        <v>21</v>
      </c>
      <c r="Q41">
        <v>4.5999999999999996</v>
      </c>
    </row>
    <row r="42" spans="1:17" x14ac:dyDescent="0.35">
      <c r="A42" t="s">
        <v>100</v>
      </c>
      <c r="B42" s="1">
        <v>46230</v>
      </c>
      <c r="C42" t="s">
        <v>46</v>
      </c>
      <c r="D42" t="s">
        <v>58</v>
      </c>
      <c r="E42" s="2">
        <v>0.3215277777777778</v>
      </c>
      <c r="F42">
        <v>3</v>
      </c>
      <c r="G42">
        <v>352.72</v>
      </c>
      <c r="H42">
        <v>2.48</v>
      </c>
      <c r="I42">
        <v>0.71</v>
      </c>
      <c r="J42">
        <v>1.25</v>
      </c>
      <c r="K42">
        <v>0.88</v>
      </c>
      <c r="L42">
        <v>9.27</v>
      </c>
      <c r="M42">
        <v>14.59</v>
      </c>
      <c r="N42">
        <v>4.01</v>
      </c>
      <c r="O42" t="s">
        <v>101</v>
      </c>
      <c r="P42" t="s">
        <v>21</v>
      </c>
      <c r="Q42">
        <v>4.5999999999999996</v>
      </c>
    </row>
    <row r="43" spans="1:17" x14ac:dyDescent="0.35">
      <c r="A43" t="s">
        <v>102</v>
      </c>
      <c r="B43" s="1">
        <v>46230</v>
      </c>
      <c r="C43" t="s">
        <v>23</v>
      </c>
      <c r="D43" t="s">
        <v>24</v>
      </c>
      <c r="E43" s="2">
        <v>0.95277777777777772</v>
      </c>
      <c r="F43">
        <v>3</v>
      </c>
      <c r="G43">
        <v>499.39</v>
      </c>
      <c r="H43">
        <v>2.87</v>
      </c>
      <c r="I43">
        <v>0.89</v>
      </c>
      <c r="J43">
        <v>1.83</v>
      </c>
      <c r="K43">
        <v>0.82</v>
      </c>
      <c r="L43">
        <v>8.17</v>
      </c>
      <c r="M43">
        <v>14.58</v>
      </c>
      <c r="N43">
        <v>3.37</v>
      </c>
      <c r="O43" t="s">
        <v>103</v>
      </c>
      <c r="P43" t="s">
        <v>21</v>
      </c>
      <c r="Q43">
        <v>4.5</v>
      </c>
    </row>
    <row r="44" spans="1:17" x14ac:dyDescent="0.35">
      <c r="A44" t="s">
        <v>104</v>
      </c>
      <c r="B44" s="1">
        <v>46234</v>
      </c>
      <c r="C44" t="s">
        <v>23</v>
      </c>
      <c r="D44" t="s">
        <v>50</v>
      </c>
      <c r="E44" s="2">
        <v>0.45763888888888887</v>
      </c>
      <c r="F44">
        <v>7</v>
      </c>
      <c r="G44">
        <v>469.37</v>
      </c>
      <c r="H44">
        <v>3.02</v>
      </c>
      <c r="I44">
        <v>1.22</v>
      </c>
      <c r="J44">
        <v>0.76</v>
      </c>
      <c r="K44">
        <v>0.95</v>
      </c>
      <c r="L44">
        <v>6.63</v>
      </c>
      <c r="M44">
        <v>12.58</v>
      </c>
      <c r="N44">
        <v>2.42</v>
      </c>
      <c r="O44" t="s">
        <v>53</v>
      </c>
      <c r="P44" t="s">
        <v>21</v>
      </c>
      <c r="Q44">
        <v>4.7</v>
      </c>
    </row>
    <row r="45" spans="1:17" x14ac:dyDescent="0.35">
      <c r="A45" t="s">
        <v>105</v>
      </c>
      <c r="B45" s="1">
        <v>46227</v>
      </c>
      <c r="C45" t="s">
        <v>46</v>
      </c>
      <c r="D45" t="s">
        <v>47</v>
      </c>
      <c r="E45" s="2">
        <v>0.52986111111111112</v>
      </c>
      <c r="F45">
        <v>3</v>
      </c>
      <c r="G45">
        <v>418.42</v>
      </c>
      <c r="H45">
        <v>2.54</v>
      </c>
      <c r="I45">
        <v>0.85</v>
      </c>
      <c r="J45">
        <v>1.33</v>
      </c>
      <c r="K45">
        <v>0.83</v>
      </c>
      <c r="L45">
        <v>6.94</v>
      </c>
      <c r="M45">
        <v>12.49</v>
      </c>
      <c r="N45">
        <v>3.14</v>
      </c>
      <c r="O45" t="s">
        <v>106</v>
      </c>
      <c r="P45" t="s">
        <v>21</v>
      </c>
      <c r="Q45">
        <v>4.2</v>
      </c>
    </row>
    <row r="46" spans="1:17" x14ac:dyDescent="0.35">
      <c r="A46" t="s">
        <v>107</v>
      </c>
      <c r="B46" s="1">
        <v>46238</v>
      </c>
      <c r="C46" t="s">
        <v>18</v>
      </c>
      <c r="D46" t="s">
        <v>42</v>
      </c>
      <c r="E46" s="2">
        <v>0.66249999999999998</v>
      </c>
      <c r="F46">
        <v>2</v>
      </c>
      <c r="G46">
        <v>625.35</v>
      </c>
      <c r="H46">
        <v>2.58</v>
      </c>
      <c r="I46">
        <v>0.8</v>
      </c>
      <c r="J46">
        <v>1.61</v>
      </c>
      <c r="K46">
        <v>0.77</v>
      </c>
      <c r="L46">
        <v>6.36</v>
      </c>
      <c r="M46">
        <v>12.12</v>
      </c>
      <c r="N46">
        <v>2.33</v>
      </c>
      <c r="O46" t="s">
        <v>108</v>
      </c>
      <c r="P46" t="s">
        <v>21</v>
      </c>
      <c r="Q46">
        <v>5</v>
      </c>
    </row>
    <row r="47" spans="1:17" x14ac:dyDescent="0.35">
      <c r="A47" t="s">
        <v>109</v>
      </c>
      <c r="B47" s="1">
        <v>46235</v>
      </c>
      <c r="C47" t="s">
        <v>18</v>
      </c>
      <c r="D47" t="s">
        <v>19</v>
      </c>
      <c r="E47" s="2">
        <v>0.27916666666666667</v>
      </c>
      <c r="F47">
        <v>2</v>
      </c>
      <c r="G47">
        <v>671.95</v>
      </c>
      <c r="H47">
        <v>2.42</v>
      </c>
      <c r="I47">
        <v>0.77</v>
      </c>
      <c r="J47">
        <v>0.78</v>
      </c>
      <c r="K47">
        <v>0.8</v>
      </c>
      <c r="L47">
        <v>4.5</v>
      </c>
      <c r="M47">
        <v>9.27</v>
      </c>
      <c r="N47">
        <v>2.2200000000000002</v>
      </c>
      <c r="O47" t="s">
        <v>81</v>
      </c>
      <c r="P47" t="s">
        <v>21</v>
      </c>
      <c r="Q47">
        <v>5</v>
      </c>
    </row>
    <row r="48" spans="1:17" x14ac:dyDescent="0.35">
      <c r="A48" t="s">
        <v>110</v>
      </c>
      <c r="B48" s="1">
        <v>46240</v>
      </c>
      <c r="C48" t="s">
        <v>18</v>
      </c>
      <c r="D48" t="s">
        <v>31</v>
      </c>
      <c r="E48" s="2">
        <v>0.9506944444444444</v>
      </c>
      <c r="F48">
        <v>6</v>
      </c>
      <c r="G48">
        <v>515.91</v>
      </c>
      <c r="H48">
        <v>3.19</v>
      </c>
      <c r="I48">
        <v>0.95</v>
      </c>
      <c r="J48">
        <v>1.71</v>
      </c>
      <c r="K48">
        <v>1.28</v>
      </c>
      <c r="L48">
        <v>6.25</v>
      </c>
      <c r="M48">
        <v>13.38</v>
      </c>
      <c r="N48">
        <v>2.13</v>
      </c>
      <c r="O48" t="s">
        <v>40</v>
      </c>
      <c r="P48" t="s">
        <v>21</v>
      </c>
      <c r="Q48">
        <v>3.8</v>
      </c>
    </row>
    <row r="49" spans="1:17" x14ac:dyDescent="0.35">
      <c r="A49" t="s">
        <v>111</v>
      </c>
      <c r="B49" s="1">
        <v>46218</v>
      </c>
      <c r="C49" t="s">
        <v>18</v>
      </c>
      <c r="D49" t="s">
        <v>19</v>
      </c>
      <c r="E49" s="2">
        <v>0.10138888888888889</v>
      </c>
      <c r="F49">
        <v>5</v>
      </c>
      <c r="G49">
        <v>765.96</v>
      </c>
      <c r="H49">
        <v>3.25</v>
      </c>
      <c r="I49">
        <v>1</v>
      </c>
      <c r="J49">
        <v>1.1000000000000001</v>
      </c>
      <c r="K49">
        <v>0.51</v>
      </c>
      <c r="L49">
        <v>7.4</v>
      </c>
      <c r="M49">
        <v>13.26</v>
      </c>
      <c r="N49">
        <v>3.61</v>
      </c>
      <c r="O49" t="s">
        <v>112</v>
      </c>
      <c r="P49" t="s">
        <v>21</v>
      </c>
      <c r="Q49">
        <v>4.0999999999999996</v>
      </c>
    </row>
    <row r="50" spans="1:17" x14ac:dyDescent="0.35">
      <c r="A50" t="s">
        <v>113</v>
      </c>
      <c r="B50" s="1">
        <v>46220</v>
      </c>
      <c r="C50" t="s">
        <v>46</v>
      </c>
      <c r="D50" t="s">
        <v>47</v>
      </c>
      <c r="E50" s="2">
        <v>0.81319444444444444</v>
      </c>
      <c r="F50">
        <v>6</v>
      </c>
      <c r="G50">
        <v>294.5</v>
      </c>
      <c r="H50">
        <v>2.17</v>
      </c>
      <c r="I50">
        <v>1.1299999999999999</v>
      </c>
      <c r="J50">
        <v>1.41</v>
      </c>
      <c r="K50">
        <v>0.99</v>
      </c>
      <c r="L50">
        <v>6.36</v>
      </c>
      <c r="M50">
        <v>12.06</v>
      </c>
      <c r="N50">
        <v>1.71</v>
      </c>
      <c r="O50" t="s">
        <v>114</v>
      </c>
      <c r="P50" t="s">
        <v>21</v>
      </c>
      <c r="Q50">
        <v>4.5999999999999996</v>
      </c>
    </row>
    <row r="51" spans="1:17" x14ac:dyDescent="0.35">
      <c r="A51" t="s">
        <v>115</v>
      </c>
      <c r="B51" s="1">
        <v>46234</v>
      </c>
      <c r="C51" t="s">
        <v>46</v>
      </c>
      <c r="D51" t="s">
        <v>58</v>
      </c>
      <c r="E51" s="2">
        <v>0.59930555555555554</v>
      </c>
      <c r="F51">
        <v>6</v>
      </c>
      <c r="G51">
        <v>465.14</v>
      </c>
      <c r="H51">
        <v>3.36</v>
      </c>
      <c r="I51">
        <v>1.1200000000000001</v>
      </c>
      <c r="J51">
        <v>1.27</v>
      </c>
      <c r="K51">
        <v>1.22</v>
      </c>
      <c r="L51">
        <v>8.68</v>
      </c>
      <c r="M51">
        <v>15.65</v>
      </c>
      <c r="N51">
        <v>3.58</v>
      </c>
      <c r="O51" t="s">
        <v>116</v>
      </c>
      <c r="P51" t="s">
        <v>21</v>
      </c>
      <c r="Q51">
        <v>3.9</v>
      </c>
    </row>
    <row r="52" spans="1:17" x14ac:dyDescent="0.35">
      <c r="A52" t="s">
        <v>117</v>
      </c>
      <c r="B52" s="1">
        <v>46222</v>
      </c>
      <c r="C52" t="s">
        <v>46</v>
      </c>
      <c r="D52" t="s">
        <v>58</v>
      </c>
      <c r="E52" s="2">
        <v>0.33888888888888891</v>
      </c>
      <c r="F52">
        <v>5</v>
      </c>
      <c r="G52">
        <v>370.97</v>
      </c>
      <c r="H52">
        <v>2.67</v>
      </c>
      <c r="I52">
        <v>1.0900000000000001</v>
      </c>
      <c r="J52">
        <v>0.3</v>
      </c>
      <c r="K52">
        <v>0.41</v>
      </c>
      <c r="L52">
        <v>7.06</v>
      </c>
      <c r="M52">
        <v>11.53</v>
      </c>
      <c r="N52">
        <v>2.65</v>
      </c>
      <c r="O52" t="s">
        <v>118</v>
      </c>
      <c r="P52" t="s">
        <v>21</v>
      </c>
      <c r="Q52">
        <v>5</v>
      </c>
    </row>
    <row r="53" spans="1:17" x14ac:dyDescent="0.35">
      <c r="A53" t="s">
        <v>119</v>
      </c>
      <c r="B53" s="1">
        <v>46236</v>
      </c>
      <c r="C53" t="s">
        <v>18</v>
      </c>
      <c r="D53" t="s">
        <v>42</v>
      </c>
      <c r="E53" s="2">
        <v>0.64444444444444449</v>
      </c>
      <c r="F53">
        <v>6</v>
      </c>
      <c r="G53">
        <v>164.02</v>
      </c>
      <c r="H53">
        <v>2.48</v>
      </c>
      <c r="I53">
        <v>1.1100000000000001</v>
      </c>
      <c r="J53">
        <v>1.3</v>
      </c>
      <c r="K53">
        <v>0.54</v>
      </c>
      <c r="L53">
        <v>4.99</v>
      </c>
      <c r="M53">
        <v>10.42</v>
      </c>
      <c r="N53">
        <v>0.94</v>
      </c>
      <c r="O53" t="s">
        <v>83</v>
      </c>
      <c r="P53" t="s">
        <v>21</v>
      </c>
      <c r="Q53">
        <v>4.5999999999999996</v>
      </c>
    </row>
    <row r="54" spans="1:17" x14ac:dyDescent="0.35">
      <c r="A54" t="s">
        <v>120</v>
      </c>
      <c r="B54" s="1">
        <v>46224</v>
      </c>
      <c r="C54" t="s">
        <v>46</v>
      </c>
      <c r="D54" t="s">
        <v>58</v>
      </c>
      <c r="E54" s="2">
        <v>0.38194444444444442</v>
      </c>
      <c r="F54">
        <v>4</v>
      </c>
      <c r="G54">
        <v>485.12</v>
      </c>
      <c r="H54">
        <v>2.86</v>
      </c>
      <c r="I54">
        <v>0.91</v>
      </c>
      <c r="J54">
        <v>0.45</v>
      </c>
      <c r="K54">
        <v>0.72</v>
      </c>
      <c r="L54">
        <v>6.1</v>
      </c>
      <c r="M54">
        <v>11.04</v>
      </c>
      <c r="N54">
        <v>2.5299999999999998</v>
      </c>
      <c r="O54" t="s">
        <v>87</v>
      </c>
      <c r="P54" t="s">
        <v>21</v>
      </c>
      <c r="Q54">
        <v>5</v>
      </c>
    </row>
    <row r="55" spans="1:17" x14ac:dyDescent="0.35">
      <c r="A55" t="s">
        <v>121</v>
      </c>
      <c r="B55" s="1">
        <v>46222</v>
      </c>
      <c r="C55" t="s">
        <v>18</v>
      </c>
      <c r="D55" t="s">
        <v>31</v>
      </c>
      <c r="E55" s="2">
        <v>0.23402777777777778</v>
      </c>
      <c r="F55">
        <v>5</v>
      </c>
      <c r="G55">
        <v>478.09</v>
      </c>
      <c r="H55">
        <v>3.38</v>
      </c>
      <c r="I55">
        <v>1.08</v>
      </c>
      <c r="J55">
        <v>1.36</v>
      </c>
      <c r="K55">
        <v>0.68</v>
      </c>
      <c r="L55">
        <v>4.28</v>
      </c>
      <c r="M55">
        <v>10.78</v>
      </c>
      <c r="N55">
        <v>0.4</v>
      </c>
      <c r="O55" t="s">
        <v>122</v>
      </c>
      <c r="P55" t="s">
        <v>21</v>
      </c>
      <c r="Q55">
        <v>5</v>
      </c>
    </row>
    <row r="56" spans="1:17" x14ac:dyDescent="0.35">
      <c r="A56" t="s">
        <v>123</v>
      </c>
      <c r="B56" s="1">
        <v>46233</v>
      </c>
      <c r="C56" t="s">
        <v>18</v>
      </c>
      <c r="D56" t="s">
        <v>42</v>
      </c>
      <c r="E56" s="2">
        <v>0.60486111111111107</v>
      </c>
      <c r="F56">
        <v>7</v>
      </c>
      <c r="G56">
        <v>772.42</v>
      </c>
      <c r="H56">
        <v>3.29</v>
      </c>
      <c r="I56">
        <v>1.1100000000000001</v>
      </c>
      <c r="J56">
        <v>0.99</v>
      </c>
      <c r="K56">
        <v>0.75</v>
      </c>
      <c r="L56">
        <v>7.49</v>
      </c>
      <c r="M56">
        <v>13.63</v>
      </c>
      <c r="N56">
        <v>2.76</v>
      </c>
      <c r="O56" t="s">
        <v>40</v>
      </c>
      <c r="P56" t="s">
        <v>21</v>
      </c>
      <c r="Q56">
        <v>4.7</v>
      </c>
    </row>
    <row r="57" spans="1:17" hidden="1" x14ac:dyDescent="0.35">
      <c r="A57" t="s">
        <v>124</v>
      </c>
      <c r="B57" s="1">
        <v>46219</v>
      </c>
      <c r="C57" t="s">
        <v>23</v>
      </c>
      <c r="D57" t="s">
        <v>24</v>
      </c>
      <c r="E57" s="2">
        <v>0.44444444444444442</v>
      </c>
      <c r="F57">
        <v>5</v>
      </c>
      <c r="G57">
        <v>613.54999999999995</v>
      </c>
      <c r="H57">
        <v>3.23</v>
      </c>
      <c r="I57">
        <v>0.84</v>
      </c>
      <c r="J57">
        <v>0.42</v>
      </c>
      <c r="K57">
        <v>0.81</v>
      </c>
      <c r="L57">
        <v>7.22</v>
      </c>
      <c r="M57">
        <v>12.52</v>
      </c>
      <c r="N57">
        <v>3</v>
      </c>
      <c r="O57" t="s">
        <v>108</v>
      </c>
      <c r="P57" t="s">
        <v>125</v>
      </c>
    </row>
    <row r="58" spans="1:17" x14ac:dyDescent="0.35">
      <c r="A58" t="s">
        <v>126</v>
      </c>
      <c r="B58" s="1">
        <v>46240</v>
      </c>
      <c r="C58" t="s">
        <v>46</v>
      </c>
      <c r="D58" t="s">
        <v>58</v>
      </c>
      <c r="E58" s="2">
        <v>0.32777777777777778</v>
      </c>
      <c r="F58">
        <v>3</v>
      </c>
      <c r="G58">
        <v>315.64999999999998</v>
      </c>
      <c r="H58">
        <v>3.02</v>
      </c>
      <c r="I58">
        <v>0.77</v>
      </c>
      <c r="J58">
        <v>0.97</v>
      </c>
      <c r="K58">
        <v>0.67</v>
      </c>
      <c r="L58">
        <v>5.91</v>
      </c>
      <c r="M58">
        <v>11.34</v>
      </c>
      <c r="N58">
        <v>1.67</v>
      </c>
      <c r="O58" t="s">
        <v>127</v>
      </c>
      <c r="P58" t="s">
        <v>21</v>
      </c>
      <c r="Q58">
        <v>5</v>
      </c>
    </row>
    <row r="59" spans="1:17" hidden="1" x14ac:dyDescent="0.35">
      <c r="A59" t="s">
        <v>128</v>
      </c>
      <c r="B59" s="1">
        <v>46243</v>
      </c>
      <c r="C59" t="s">
        <v>46</v>
      </c>
      <c r="D59" t="s">
        <v>47</v>
      </c>
      <c r="E59" s="2">
        <v>0.10416666666666667</v>
      </c>
      <c r="F59">
        <v>4</v>
      </c>
      <c r="G59">
        <v>833.74</v>
      </c>
      <c r="H59">
        <v>3.14</v>
      </c>
      <c r="I59">
        <v>0.78</v>
      </c>
      <c r="J59">
        <v>1.35</v>
      </c>
      <c r="K59">
        <v>1.03</v>
      </c>
      <c r="L59">
        <v>5.67</v>
      </c>
      <c r="M59">
        <v>11.97</v>
      </c>
      <c r="N59">
        <v>2.31</v>
      </c>
      <c r="O59" t="s">
        <v>108</v>
      </c>
      <c r="P59" t="s">
        <v>125</v>
      </c>
    </row>
    <row r="60" spans="1:17" hidden="1" x14ac:dyDescent="0.35">
      <c r="A60" t="s">
        <v>129</v>
      </c>
      <c r="B60" s="1">
        <v>46229</v>
      </c>
      <c r="C60" t="s">
        <v>18</v>
      </c>
      <c r="D60" t="s">
        <v>42</v>
      </c>
      <c r="E60" s="2">
        <v>0.99861111111111112</v>
      </c>
      <c r="F60">
        <v>6</v>
      </c>
      <c r="G60">
        <v>719.79</v>
      </c>
      <c r="H60">
        <v>3.69</v>
      </c>
      <c r="I60">
        <v>0.95</v>
      </c>
      <c r="J60">
        <v>0.91</v>
      </c>
      <c r="K60">
        <v>0.56000000000000005</v>
      </c>
      <c r="L60">
        <v>8.3800000000000008</v>
      </c>
      <c r="M60">
        <v>14.49</v>
      </c>
      <c r="N60">
        <v>3.96</v>
      </c>
      <c r="O60" t="s">
        <v>130</v>
      </c>
      <c r="P60" t="s">
        <v>125</v>
      </c>
    </row>
    <row r="61" spans="1:17" x14ac:dyDescent="0.35">
      <c r="A61" t="s">
        <v>131</v>
      </c>
      <c r="B61" s="1">
        <v>46233</v>
      </c>
      <c r="C61" t="s">
        <v>46</v>
      </c>
      <c r="D61" t="s">
        <v>47</v>
      </c>
      <c r="E61" s="2">
        <v>0.91736111111111107</v>
      </c>
      <c r="F61">
        <v>4</v>
      </c>
      <c r="G61">
        <v>604.78</v>
      </c>
      <c r="H61">
        <v>2.94</v>
      </c>
      <c r="I61">
        <v>0.85</v>
      </c>
      <c r="J61">
        <v>2.09</v>
      </c>
      <c r="K61">
        <v>1.35</v>
      </c>
      <c r="L61">
        <v>5.8</v>
      </c>
      <c r="M61">
        <v>13.03</v>
      </c>
      <c r="N61">
        <v>1.99</v>
      </c>
      <c r="O61" t="s">
        <v>132</v>
      </c>
      <c r="P61" t="s">
        <v>21</v>
      </c>
      <c r="Q61">
        <v>4.7</v>
      </c>
    </row>
    <row r="62" spans="1:17" x14ac:dyDescent="0.35">
      <c r="A62" t="s">
        <v>133</v>
      </c>
      <c r="B62" s="1">
        <v>46241</v>
      </c>
      <c r="C62" t="s">
        <v>18</v>
      </c>
      <c r="D62" t="s">
        <v>31</v>
      </c>
      <c r="E62" s="2">
        <v>0.18194444444444444</v>
      </c>
      <c r="F62">
        <v>3</v>
      </c>
      <c r="G62">
        <v>459.23</v>
      </c>
      <c r="H62">
        <v>2.4900000000000002</v>
      </c>
      <c r="I62">
        <v>0.69</v>
      </c>
      <c r="J62">
        <v>2.15</v>
      </c>
      <c r="K62">
        <v>1.27</v>
      </c>
      <c r="L62">
        <v>4.3499999999999996</v>
      </c>
      <c r="M62">
        <v>10.95</v>
      </c>
      <c r="N62">
        <v>1.25</v>
      </c>
      <c r="O62" t="s">
        <v>112</v>
      </c>
      <c r="P62" t="s">
        <v>21</v>
      </c>
      <c r="Q62">
        <v>5</v>
      </c>
    </row>
    <row r="63" spans="1:17" x14ac:dyDescent="0.35">
      <c r="A63" t="s">
        <v>134</v>
      </c>
      <c r="B63" s="1">
        <v>46224</v>
      </c>
      <c r="C63" t="s">
        <v>23</v>
      </c>
      <c r="D63" t="s">
        <v>50</v>
      </c>
      <c r="E63" s="2">
        <v>9.930555555555555E-2</v>
      </c>
      <c r="F63">
        <v>5</v>
      </c>
      <c r="G63">
        <v>327.3</v>
      </c>
      <c r="H63">
        <v>2.34</v>
      </c>
      <c r="I63">
        <v>0.91</v>
      </c>
      <c r="J63">
        <v>0.32</v>
      </c>
      <c r="K63">
        <v>0.53</v>
      </c>
      <c r="L63">
        <v>7.59</v>
      </c>
      <c r="M63">
        <v>11.69</v>
      </c>
      <c r="N63">
        <v>3.53</v>
      </c>
      <c r="O63" t="s">
        <v>36</v>
      </c>
      <c r="P63" t="s">
        <v>21</v>
      </c>
      <c r="Q63">
        <v>4.9000000000000004</v>
      </c>
    </row>
    <row r="64" spans="1:17" x14ac:dyDescent="0.35">
      <c r="A64" t="s">
        <v>135</v>
      </c>
      <c r="B64" s="1">
        <v>46241</v>
      </c>
      <c r="C64" t="s">
        <v>23</v>
      </c>
      <c r="D64" t="s">
        <v>24</v>
      </c>
      <c r="E64" s="2">
        <v>0.23958333333333334</v>
      </c>
      <c r="F64">
        <v>5</v>
      </c>
      <c r="G64">
        <v>433</v>
      </c>
      <c r="H64">
        <v>2.81</v>
      </c>
      <c r="I64">
        <v>0.72</v>
      </c>
      <c r="J64">
        <v>1.68</v>
      </c>
      <c r="K64">
        <v>0.81</v>
      </c>
      <c r="L64">
        <v>9.5299999999999994</v>
      </c>
      <c r="M64">
        <v>15.55</v>
      </c>
      <c r="N64">
        <v>3.97</v>
      </c>
      <c r="O64" t="s">
        <v>95</v>
      </c>
      <c r="P64" t="s">
        <v>21</v>
      </c>
      <c r="Q64">
        <v>3.6</v>
      </c>
    </row>
    <row r="65" spans="1:17" x14ac:dyDescent="0.35">
      <c r="A65" t="s">
        <v>136</v>
      </c>
      <c r="B65" s="1">
        <v>46236</v>
      </c>
      <c r="C65" t="s">
        <v>23</v>
      </c>
      <c r="D65" t="s">
        <v>50</v>
      </c>
      <c r="E65" s="2">
        <v>0.43263888888888891</v>
      </c>
      <c r="F65">
        <v>6</v>
      </c>
      <c r="G65">
        <v>695.97</v>
      </c>
      <c r="H65">
        <v>2.82</v>
      </c>
      <c r="I65">
        <v>1.06</v>
      </c>
      <c r="J65">
        <v>1.03</v>
      </c>
      <c r="K65">
        <v>0.94</v>
      </c>
      <c r="L65">
        <v>5.97</v>
      </c>
      <c r="M65">
        <v>11.82</v>
      </c>
      <c r="N65">
        <v>2.2000000000000002</v>
      </c>
      <c r="O65" t="s">
        <v>137</v>
      </c>
      <c r="P65" t="s">
        <v>21</v>
      </c>
      <c r="Q65">
        <v>4.4000000000000004</v>
      </c>
    </row>
    <row r="66" spans="1:17" x14ac:dyDescent="0.35">
      <c r="A66" t="s">
        <v>138</v>
      </c>
      <c r="B66" s="1">
        <v>46217</v>
      </c>
      <c r="C66" t="s">
        <v>23</v>
      </c>
      <c r="D66" t="s">
        <v>24</v>
      </c>
      <c r="E66" s="2">
        <v>0.7055555555555556</v>
      </c>
      <c r="F66">
        <v>4</v>
      </c>
      <c r="G66">
        <v>839.23</v>
      </c>
      <c r="H66">
        <v>3.44</v>
      </c>
      <c r="I66">
        <v>0.87</v>
      </c>
      <c r="J66">
        <v>0.44</v>
      </c>
      <c r="K66">
        <v>0.48</v>
      </c>
      <c r="L66">
        <v>7.71</v>
      </c>
      <c r="M66">
        <v>12.94</v>
      </c>
      <c r="N66">
        <v>3.11</v>
      </c>
      <c r="O66" t="s">
        <v>106</v>
      </c>
      <c r="P66" t="s">
        <v>21</v>
      </c>
      <c r="Q66">
        <v>4.5999999999999996</v>
      </c>
    </row>
    <row r="67" spans="1:17" x14ac:dyDescent="0.35">
      <c r="A67" t="s">
        <v>139</v>
      </c>
      <c r="B67" s="1">
        <v>46235</v>
      </c>
      <c r="C67" t="s">
        <v>23</v>
      </c>
      <c r="D67" t="s">
        <v>35</v>
      </c>
      <c r="E67" s="2">
        <v>0.61111111111111116</v>
      </c>
      <c r="F67">
        <v>8</v>
      </c>
      <c r="G67">
        <v>777.78</v>
      </c>
      <c r="H67">
        <v>3.5</v>
      </c>
      <c r="I67">
        <v>1.0900000000000001</v>
      </c>
      <c r="J67">
        <v>0.87</v>
      </c>
      <c r="K67">
        <v>0.78</v>
      </c>
      <c r="L67">
        <v>7.67</v>
      </c>
      <c r="M67">
        <v>13.91</v>
      </c>
      <c r="N67">
        <v>3.41</v>
      </c>
      <c r="O67" t="s">
        <v>140</v>
      </c>
      <c r="P67" t="s">
        <v>21</v>
      </c>
      <c r="Q67">
        <v>4.5</v>
      </c>
    </row>
    <row r="68" spans="1:17" x14ac:dyDescent="0.35">
      <c r="A68" t="s">
        <v>141</v>
      </c>
      <c r="B68" s="1">
        <v>46243</v>
      </c>
      <c r="C68" t="s">
        <v>18</v>
      </c>
      <c r="D68" t="s">
        <v>19</v>
      </c>
      <c r="E68" s="2">
        <v>6.9444444444444447E-4</v>
      </c>
      <c r="F68">
        <v>5</v>
      </c>
      <c r="G68">
        <v>412.01</v>
      </c>
      <c r="H68">
        <v>2.94</v>
      </c>
      <c r="I68">
        <v>1.03</v>
      </c>
      <c r="J68">
        <v>1.04</v>
      </c>
      <c r="K68">
        <v>0.91</v>
      </c>
      <c r="L68">
        <v>4.07</v>
      </c>
      <c r="M68">
        <v>9.99</v>
      </c>
      <c r="N68">
        <v>1.53</v>
      </c>
      <c r="O68" t="s">
        <v>76</v>
      </c>
      <c r="P68" t="s">
        <v>21</v>
      </c>
      <c r="Q68">
        <v>5</v>
      </c>
    </row>
    <row r="69" spans="1:17" x14ac:dyDescent="0.35">
      <c r="A69" t="s">
        <v>142</v>
      </c>
      <c r="B69" s="1">
        <v>46230</v>
      </c>
      <c r="C69" t="s">
        <v>23</v>
      </c>
      <c r="D69" t="s">
        <v>35</v>
      </c>
      <c r="E69" s="2">
        <v>0.62222222222222223</v>
      </c>
      <c r="F69">
        <v>6</v>
      </c>
      <c r="G69">
        <v>298.47000000000003</v>
      </c>
      <c r="H69">
        <v>3.31</v>
      </c>
      <c r="I69">
        <v>1.1399999999999999</v>
      </c>
      <c r="J69">
        <v>1.66</v>
      </c>
      <c r="K69">
        <v>0.44</v>
      </c>
      <c r="L69">
        <v>5.58</v>
      </c>
      <c r="M69">
        <v>12.13</v>
      </c>
      <c r="N69">
        <v>1.76</v>
      </c>
      <c r="O69" t="s">
        <v>27</v>
      </c>
      <c r="P69" t="s">
        <v>21</v>
      </c>
      <c r="Q69">
        <v>4.0999999999999996</v>
      </c>
    </row>
    <row r="70" spans="1:17" x14ac:dyDescent="0.35">
      <c r="A70" t="s">
        <v>143</v>
      </c>
      <c r="B70" s="1">
        <v>46243</v>
      </c>
      <c r="C70" t="s">
        <v>18</v>
      </c>
      <c r="D70" t="s">
        <v>19</v>
      </c>
      <c r="E70" s="2">
        <v>0.92152777777777772</v>
      </c>
      <c r="F70">
        <v>3</v>
      </c>
      <c r="G70">
        <v>525.36</v>
      </c>
      <c r="H70">
        <v>2.48</v>
      </c>
      <c r="I70">
        <v>0.6</v>
      </c>
      <c r="J70">
        <v>1.97</v>
      </c>
      <c r="K70">
        <v>1.1599999999999999</v>
      </c>
      <c r="L70">
        <v>7.52</v>
      </c>
      <c r="M70">
        <v>13.73</v>
      </c>
      <c r="N70">
        <v>3.56</v>
      </c>
      <c r="O70" t="s">
        <v>85</v>
      </c>
      <c r="P70" t="s">
        <v>21</v>
      </c>
      <c r="Q70">
        <v>4.8</v>
      </c>
    </row>
    <row r="71" spans="1:17" x14ac:dyDescent="0.35">
      <c r="A71" t="s">
        <v>144</v>
      </c>
      <c r="B71" s="1">
        <v>46222</v>
      </c>
      <c r="C71" t="s">
        <v>23</v>
      </c>
      <c r="D71" t="s">
        <v>35</v>
      </c>
      <c r="E71" s="2">
        <v>0.17569444444444443</v>
      </c>
      <c r="F71">
        <v>10</v>
      </c>
      <c r="G71">
        <v>181.68</v>
      </c>
      <c r="H71">
        <v>4.59</v>
      </c>
      <c r="I71">
        <v>1.26</v>
      </c>
      <c r="J71">
        <v>1.63</v>
      </c>
      <c r="K71">
        <v>0.43</v>
      </c>
      <c r="L71">
        <v>8.43</v>
      </c>
      <c r="M71">
        <v>16.34</v>
      </c>
      <c r="N71">
        <v>3.72</v>
      </c>
      <c r="O71" t="s">
        <v>145</v>
      </c>
      <c r="P71" t="s">
        <v>21</v>
      </c>
      <c r="Q71">
        <v>4.9000000000000004</v>
      </c>
    </row>
    <row r="72" spans="1:17" x14ac:dyDescent="0.35">
      <c r="A72" t="s">
        <v>146</v>
      </c>
      <c r="B72" s="1">
        <v>46227</v>
      </c>
      <c r="C72" t="s">
        <v>18</v>
      </c>
      <c r="D72" t="s">
        <v>42</v>
      </c>
      <c r="E72" s="2">
        <v>0.31388888888888888</v>
      </c>
      <c r="F72">
        <v>3</v>
      </c>
      <c r="G72">
        <v>558.16999999999996</v>
      </c>
      <c r="H72">
        <v>2.2400000000000002</v>
      </c>
      <c r="I72">
        <v>0.7</v>
      </c>
      <c r="J72">
        <v>0.36</v>
      </c>
      <c r="K72">
        <v>0.57999999999999996</v>
      </c>
      <c r="L72">
        <v>6.15</v>
      </c>
      <c r="M72">
        <v>10.029999999999999</v>
      </c>
      <c r="N72">
        <v>2.71</v>
      </c>
      <c r="O72" t="s">
        <v>27</v>
      </c>
      <c r="P72" t="s">
        <v>21</v>
      </c>
      <c r="Q72">
        <v>5</v>
      </c>
    </row>
    <row r="73" spans="1:17" x14ac:dyDescent="0.35">
      <c r="A73" t="s">
        <v>147</v>
      </c>
      <c r="B73" s="1">
        <v>46223</v>
      </c>
      <c r="C73" t="s">
        <v>23</v>
      </c>
      <c r="D73" t="s">
        <v>35</v>
      </c>
      <c r="E73" s="2">
        <v>0.73611111111111116</v>
      </c>
      <c r="F73">
        <v>2</v>
      </c>
      <c r="G73">
        <v>473.43</v>
      </c>
      <c r="H73">
        <v>2.31</v>
      </c>
      <c r="I73">
        <v>0.6</v>
      </c>
      <c r="J73">
        <v>1.22</v>
      </c>
      <c r="K73">
        <v>0.93</v>
      </c>
      <c r="L73">
        <v>5.98</v>
      </c>
      <c r="M73">
        <v>11.04</v>
      </c>
      <c r="N73">
        <v>1.41</v>
      </c>
      <c r="O73" t="s">
        <v>148</v>
      </c>
      <c r="P73" t="s">
        <v>21</v>
      </c>
      <c r="Q73">
        <v>4.7</v>
      </c>
    </row>
    <row r="74" spans="1:17" x14ac:dyDescent="0.35">
      <c r="A74" t="s">
        <v>149</v>
      </c>
      <c r="B74" s="1">
        <v>46230</v>
      </c>
      <c r="C74" t="s">
        <v>23</v>
      </c>
      <c r="D74" t="s">
        <v>35</v>
      </c>
      <c r="E74" s="2">
        <v>0.82152777777777775</v>
      </c>
      <c r="F74">
        <v>4</v>
      </c>
      <c r="G74">
        <v>416.11</v>
      </c>
      <c r="H74">
        <v>2.42</v>
      </c>
      <c r="I74">
        <v>0.97</v>
      </c>
      <c r="J74">
        <v>1.8</v>
      </c>
      <c r="K74">
        <v>0.81</v>
      </c>
      <c r="L74">
        <v>10.119999999999999</v>
      </c>
      <c r="M74">
        <v>16.12</v>
      </c>
      <c r="N74">
        <v>4.24</v>
      </c>
      <c r="O74" t="s">
        <v>150</v>
      </c>
      <c r="P74" t="s">
        <v>21</v>
      </c>
      <c r="Q74">
        <v>4.5</v>
      </c>
    </row>
    <row r="75" spans="1:17" x14ac:dyDescent="0.35">
      <c r="A75" t="s">
        <v>151</v>
      </c>
      <c r="B75" s="1">
        <v>46218</v>
      </c>
      <c r="C75" t="s">
        <v>18</v>
      </c>
      <c r="D75" t="s">
        <v>19</v>
      </c>
      <c r="E75" s="2">
        <v>0.70416666666666672</v>
      </c>
      <c r="F75">
        <v>7</v>
      </c>
      <c r="G75">
        <v>212.95</v>
      </c>
      <c r="H75">
        <v>2.88</v>
      </c>
      <c r="I75">
        <v>1.0900000000000001</v>
      </c>
      <c r="J75">
        <v>0.88</v>
      </c>
      <c r="K75">
        <v>0.7</v>
      </c>
      <c r="L75">
        <v>5.42</v>
      </c>
      <c r="M75">
        <v>10.97</v>
      </c>
      <c r="N75">
        <v>1.72</v>
      </c>
      <c r="O75" t="s">
        <v>152</v>
      </c>
      <c r="P75" t="s">
        <v>21</v>
      </c>
      <c r="Q75">
        <v>5</v>
      </c>
    </row>
    <row r="76" spans="1:17" x14ac:dyDescent="0.35">
      <c r="A76" t="s">
        <v>153</v>
      </c>
      <c r="B76" s="1">
        <v>46229</v>
      </c>
      <c r="C76" t="s">
        <v>18</v>
      </c>
      <c r="D76" t="s">
        <v>19</v>
      </c>
      <c r="E76" s="2">
        <v>5.5555555555555558E-3</v>
      </c>
      <c r="F76">
        <v>2</v>
      </c>
      <c r="G76">
        <v>592.45000000000005</v>
      </c>
      <c r="H76">
        <v>2.0299999999999998</v>
      </c>
      <c r="I76">
        <v>0.68</v>
      </c>
      <c r="J76">
        <v>1.18</v>
      </c>
      <c r="K76">
        <v>0.62</v>
      </c>
      <c r="L76">
        <v>6.34</v>
      </c>
      <c r="M76">
        <v>10.85</v>
      </c>
      <c r="N76">
        <v>1.9</v>
      </c>
      <c r="O76" t="s">
        <v>97</v>
      </c>
      <c r="P76" t="s">
        <v>21</v>
      </c>
      <c r="Q76">
        <v>5</v>
      </c>
    </row>
    <row r="77" spans="1:17" x14ac:dyDescent="0.35">
      <c r="A77" t="s">
        <v>154</v>
      </c>
      <c r="B77" s="1">
        <v>46232</v>
      </c>
      <c r="C77" t="s">
        <v>23</v>
      </c>
      <c r="D77" t="s">
        <v>24</v>
      </c>
      <c r="E77" s="2">
        <v>0.87222222222222223</v>
      </c>
      <c r="F77">
        <v>3</v>
      </c>
      <c r="G77">
        <v>404.11</v>
      </c>
      <c r="H77">
        <v>2.4500000000000002</v>
      </c>
      <c r="I77">
        <v>0.55000000000000004</v>
      </c>
      <c r="J77">
        <v>1.74</v>
      </c>
      <c r="K77">
        <v>0.99</v>
      </c>
      <c r="L77">
        <v>6.86</v>
      </c>
      <c r="M77">
        <v>12.59</v>
      </c>
      <c r="N77">
        <v>2.76</v>
      </c>
      <c r="O77" t="s">
        <v>69</v>
      </c>
      <c r="P77" t="s">
        <v>21</v>
      </c>
      <c r="Q77">
        <v>4.5999999999999996</v>
      </c>
    </row>
    <row r="78" spans="1:17" x14ac:dyDescent="0.35">
      <c r="A78" t="s">
        <v>155</v>
      </c>
      <c r="B78" s="1">
        <v>46219</v>
      </c>
      <c r="C78" t="s">
        <v>46</v>
      </c>
      <c r="D78" t="s">
        <v>47</v>
      </c>
      <c r="E78" s="2">
        <v>0.77916666666666667</v>
      </c>
      <c r="F78">
        <v>9</v>
      </c>
      <c r="G78">
        <v>289.41000000000003</v>
      </c>
      <c r="H78">
        <v>3.63</v>
      </c>
      <c r="I78">
        <v>1.35</v>
      </c>
      <c r="J78">
        <v>0.3</v>
      </c>
      <c r="K78">
        <v>0.69</v>
      </c>
      <c r="L78">
        <v>8.58</v>
      </c>
      <c r="M78">
        <v>14.55</v>
      </c>
      <c r="N78">
        <v>3.6</v>
      </c>
      <c r="O78" t="s">
        <v>156</v>
      </c>
      <c r="P78" t="s">
        <v>21</v>
      </c>
      <c r="Q78">
        <v>4.7</v>
      </c>
    </row>
    <row r="79" spans="1:17" x14ac:dyDescent="0.35">
      <c r="A79" t="s">
        <v>157</v>
      </c>
      <c r="B79" s="1">
        <v>46233</v>
      </c>
      <c r="C79" t="s">
        <v>23</v>
      </c>
      <c r="D79" t="s">
        <v>50</v>
      </c>
      <c r="E79" s="2">
        <v>0.56597222222222221</v>
      </c>
      <c r="F79">
        <v>8</v>
      </c>
      <c r="G79">
        <v>120</v>
      </c>
      <c r="H79">
        <v>3.32</v>
      </c>
      <c r="I79">
        <v>1.04</v>
      </c>
      <c r="J79">
        <v>1.06</v>
      </c>
      <c r="K79">
        <v>0.85</v>
      </c>
      <c r="L79">
        <v>7.41</v>
      </c>
      <c r="M79">
        <v>13.68</v>
      </c>
      <c r="N79">
        <v>2.97</v>
      </c>
      <c r="O79" t="s">
        <v>101</v>
      </c>
      <c r="P79" t="s">
        <v>21</v>
      </c>
      <c r="Q79">
        <v>3.4</v>
      </c>
    </row>
    <row r="80" spans="1:17" x14ac:dyDescent="0.35">
      <c r="A80" t="s">
        <v>158</v>
      </c>
      <c r="B80" s="1">
        <v>46223</v>
      </c>
      <c r="C80" t="s">
        <v>23</v>
      </c>
      <c r="D80" t="s">
        <v>35</v>
      </c>
      <c r="E80" s="2">
        <v>0.14374999999999999</v>
      </c>
      <c r="F80">
        <v>4</v>
      </c>
      <c r="G80">
        <v>495.05</v>
      </c>
      <c r="H80">
        <v>2.19</v>
      </c>
      <c r="I80">
        <v>0.88</v>
      </c>
      <c r="J80">
        <v>1.37</v>
      </c>
      <c r="K80">
        <v>0.77</v>
      </c>
      <c r="L80">
        <v>6.83</v>
      </c>
      <c r="M80">
        <v>12.04</v>
      </c>
      <c r="N80">
        <v>2.57</v>
      </c>
      <c r="O80" t="s">
        <v>51</v>
      </c>
      <c r="P80" t="s">
        <v>21</v>
      </c>
      <c r="Q80">
        <v>5</v>
      </c>
    </row>
    <row r="81" spans="1:17" x14ac:dyDescent="0.35">
      <c r="A81" t="s">
        <v>159</v>
      </c>
      <c r="B81" s="1">
        <v>46219</v>
      </c>
      <c r="C81" t="s">
        <v>46</v>
      </c>
      <c r="D81" t="s">
        <v>47</v>
      </c>
      <c r="E81" s="2">
        <v>0.80138888888888893</v>
      </c>
      <c r="F81">
        <v>2</v>
      </c>
      <c r="G81">
        <v>819.01</v>
      </c>
      <c r="H81">
        <v>2.21</v>
      </c>
      <c r="I81">
        <v>0.74</v>
      </c>
      <c r="J81">
        <v>1.79</v>
      </c>
      <c r="K81">
        <v>0.97</v>
      </c>
      <c r="L81">
        <v>8.1999999999999993</v>
      </c>
      <c r="M81">
        <v>13.91</v>
      </c>
      <c r="N81">
        <v>2.87</v>
      </c>
      <c r="O81" t="s">
        <v>106</v>
      </c>
      <c r="P81" t="s">
        <v>21</v>
      </c>
      <c r="Q81">
        <v>4.5999999999999996</v>
      </c>
    </row>
    <row r="82" spans="1:17" x14ac:dyDescent="0.35">
      <c r="A82" t="s">
        <v>160</v>
      </c>
      <c r="B82" s="1">
        <v>46217</v>
      </c>
      <c r="C82" t="s">
        <v>18</v>
      </c>
      <c r="D82" t="s">
        <v>19</v>
      </c>
      <c r="E82" s="2">
        <v>0.27986111111111112</v>
      </c>
      <c r="F82">
        <v>7</v>
      </c>
      <c r="G82">
        <v>799.03</v>
      </c>
      <c r="H82">
        <v>2.81</v>
      </c>
      <c r="I82">
        <v>1.27</v>
      </c>
      <c r="J82">
        <v>1.18</v>
      </c>
      <c r="K82">
        <v>0.49</v>
      </c>
      <c r="L82">
        <v>6.57</v>
      </c>
      <c r="M82">
        <v>12.32</v>
      </c>
      <c r="N82">
        <v>2.2400000000000002</v>
      </c>
      <c r="O82" t="s">
        <v>29</v>
      </c>
      <c r="P82" t="s">
        <v>21</v>
      </c>
      <c r="Q82">
        <v>4.5999999999999996</v>
      </c>
    </row>
    <row r="83" spans="1:17" hidden="1" x14ac:dyDescent="0.35">
      <c r="A83" t="s">
        <v>161</v>
      </c>
      <c r="B83" s="1">
        <v>46221</v>
      </c>
      <c r="C83" t="s">
        <v>23</v>
      </c>
      <c r="D83" t="s">
        <v>35</v>
      </c>
      <c r="E83" s="2">
        <v>0.10486111111111111</v>
      </c>
      <c r="F83">
        <v>5</v>
      </c>
      <c r="G83">
        <v>417.72</v>
      </c>
      <c r="H83">
        <v>3.17</v>
      </c>
      <c r="I83">
        <v>0.79</v>
      </c>
      <c r="J83">
        <v>0.73</v>
      </c>
      <c r="K83">
        <v>0.44</v>
      </c>
      <c r="L83">
        <v>7.04</v>
      </c>
      <c r="M83">
        <v>12.17</v>
      </c>
      <c r="N83">
        <v>2.7</v>
      </c>
      <c r="O83" t="s">
        <v>108</v>
      </c>
      <c r="P83" t="s">
        <v>125</v>
      </c>
    </row>
    <row r="84" spans="1:17" x14ac:dyDescent="0.35">
      <c r="A84" t="s">
        <v>162</v>
      </c>
      <c r="B84" s="1">
        <v>46237</v>
      </c>
      <c r="C84" t="s">
        <v>18</v>
      </c>
      <c r="D84" t="s">
        <v>42</v>
      </c>
      <c r="E84" s="2">
        <v>3.6805555555555557E-2</v>
      </c>
      <c r="F84">
        <v>6</v>
      </c>
      <c r="G84">
        <v>391.6</v>
      </c>
      <c r="H84">
        <v>3.15</v>
      </c>
      <c r="I84">
        <v>0.67</v>
      </c>
      <c r="J84">
        <v>1.35</v>
      </c>
      <c r="K84">
        <v>0.71</v>
      </c>
      <c r="L84">
        <v>3</v>
      </c>
      <c r="M84">
        <v>8.8800000000000008</v>
      </c>
      <c r="N84">
        <v>0.4</v>
      </c>
      <c r="O84" t="s">
        <v>63</v>
      </c>
      <c r="P84" t="s">
        <v>21</v>
      </c>
      <c r="Q84">
        <v>4.8</v>
      </c>
    </row>
    <row r="85" spans="1:17" x14ac:dyDescent="0.35">
      <c r="A85" t="s">
        <v>163</v>
      </c>
      <c r="B85" s="1">
        <v>46225</v>
      </c>
      <c r="C85" t="s">
        <v>18</v>
      </c>
      <c r="D85" t="s">
        <v>31</v>
      </c>
      <c r="E85" s="2">
        <v>0.79374999999999996</v>
      </c>
      <c r="F85">
        <v>4</v>
      </c>
      <c r="G85">
        <v>584.38</v>
      </c>
      <c r="H85">
        <v>2.17</v>
      </c>
      <c r="I85">
        <v>0.89</v>
      </c>
      <c r="J85">
        <v>2.54</v>
      </c>
      <c r="K85">
        <v>0.77</v>
      </c>
      <c r="L85">
        <v>5.9</v>
      </c>
      <c r="M85">
        <v>12.27</v>
      </c>
      <c r="N85">
        <v>2.1800000000000002</v>
      </c>
      <c r="O85" t="s">
        <v>118</v>
      </c>
      <c r="P85" t="s">
        <v>21</v>
      </c>
      <c r="Q85">
        <v>4.5</v>
      </c>
    </row>
    <row r="86" spans="1:17" x14ac:dyDescent="0.35">
      <c r="A86" t="s">
        <v>164</v>
      </c>
      <c r="B86" s="1">
        <v>46219</v>
      </c>
      <c r="C86" t="s">
        <v>18</v>
      </c>
      <c r="D86" t="s">
        <v>42</v>
      </c>
      <c r="E86" s="2">
        <v>0.43541666666666667</v>
      </c>
      <c r="F86">
        <v>4</v>
      </c>
      <c r="G86">
        <v>320.29000000000002</v>
      </c>
      <c r="H86">
        <v>2.57</v>
      </c>
      <c r="I86">
        <v>1.0900000000000001</v>
      </c>
      <c r="J86">
        <v>0.3</v>
      </c>
      <c r="K86">
        <v>1.08</v>
      </c>
      <c r="L86">
        <v>6.38</v>
      </c>
      <c r="M86">
        <v>11.42</v>
      </c>
      <c r="N86">
        <v>2.42</v>
      </c>
      <c r="O86" t="s">
        <v>165</v>
      </c>
      <c r="P86" t="s">
        <v>21</v>
      </c>
      <c r="Q86">
        <v>5</v>
      </c>
    </row>
    <row r="87" spans="1:17" x14ac:dyDescent="0.35">
      <c r="A87" t="s">
        <v>166</v>
      </c>
      <c r="B87" s="1">
        <v>46237</v>
      </c>
      <c r="C87" t="s">
        <v>23</v>
      </c>
      <c r="D87" t="s">
        <v>24</v>
      </c>
      <c r="E87" s="2">
        <v>0.40694444444444444</v>
      </c>
      <c r="F87">
        <v>6</v>
      </c>
      <c r="G87">
        <v>554.32000000000005</v>
      </c>
      <c r="H87">
        <v>2.86</v>
      </c>
      <c r="I87">
        <v>1.18</v>
      </c>
      <c r="J87">
        <v>1.22</v>
      </c>
      <c r="K87">
        <v>1.1299999999999999</v>
      </c>
      <c r="L87">
        <v>4.55</v>
      </c>
      <c r="M87">
        <v>10.94</v>
      </c>
      <c r="N87">
        <v>1.1599999999999999</v>
      </c>
      <c r="O87" t="s">
        <v>167</v>
      </c>
      <c r="P87" t="s">
        <v>21</v>
      </c>
      <c r="Q87">
        <v>4.5</v>
      </c>
    </row>
    <row r="88" spans="1:17" x14ac:dyDescent="0.35">
      <c r="A88" t="s">
        <v>168</v>
      </c>
      <c r="B88" s="1">
        <v>46233</v>
      </c>
      <c r="C88" t="s">
        <v>23</v>
      </c>
      <c r="D88" t="s">
        <v>35</v>
      </c>
      <c r="E88" s="2">
        <v>7.1527777777777773E-2</v>
      </c>
      <c r="F88">
        <v>6</v>
      </c>
      <c r="G88">
        <v>637.89</v>
      </c>
      <c r="H88">
        <v>3.23</v>
      </c>
      <c r="I88">
        <v>1.06</v>
      </c>
      <c r="J88">
        <v>1.1599999999999999</v>
      </c>
      <c r="K88">
        <v>0.55000000000000004</v>
      </c>
      <c r="L88">
        <v>6.03</v>
      </c>
      <c r="M88">
        <v>12.03</v>
      </c>
      <c r="N88">
        <v>2.5499999999999998</v>
      </c>
      <c r="O88" t="s">
        <v>145</v>
      </c>
      <c r="P88" t="s">
        <v>21</v>
      </c>
      <c r="Q88">
        <v>4.5</v>
      </c>
    </row>
    <row r="89" spans="1:17" x14ac:dyDescent="0.35">
      <c r="A89" t="s">
        <v>169</v>
      </c>
      <c r="B89" s="1">
        <v>46241</v>
      </c>
      <c r="C89" t="s">
        <v>18</v>
      </c>
      <c r="D89" t="s">
        <v>19</v>
      </c>
      <c r="E89" s="2">
        <v>0.17569444444444443</v>
      </c>
      <c r="F89">
        <v>5</v>
      </c>
      <c r="G89">
        <v>720.85</v>
      </c>
      <c r="H89">
        <v>3.37</v>
      </c>
      <c r="I89">
        <v>0.89</v>
      </c>
      <c r="J89">
        <v>1.08</v>
      </c>
      <c r="K89">
        <v>0.67</v>
      </c>
      <c r="L89">
        <v>7.16</v>
      </c>
      <c r="M89">
        <v>13.17</v>
      </c>
      <c r="N89">
        <v>2.02</v>
      </c>
      <c r="O89" t="s">
        <v>97</v>
      </c>
      <c r="P89" t="s">
        <v>21</v>
      </c>
      <c r="Q89">
        <v>4.5999999999999996</v>
      </c>
    </row>
    <row r="90" spans="1:17" x14ac:dyDescent="0.35">
      <c r="A90" t="s">
        <v>170</v>
      </c>
      <c r="B90" s="1">
        <v>46227</v>
      </c>
      <c r="C90" t="s">
        <v>46</v>
      </c>
      <c r="D90" t="s">
        <v>58</v>
      </c>
      <c r="E90" s="2">
        <v>0.86805555555555558</v>
      </c>
      <c r="F90">
        <v>7</v>
      </c>
      <c r="G90">
        <v>481.97</v>
      </c>
      <c r="H90">
        <v>2.68</v>
      </c>
      <c r="I90">
        <v>1.21</v>
      </c>
      <c r="J90">
        <v>1.89</v>
      </c>
      <c r="K90">
        <v>1.01</v>
      </c>
      <c r="L90">
        <v>10.130000000000001</v>
      </c>
      <c r="M90">
        <v>16.920000000000002</v>
      </c>
      <c r="N90">
        <v>4.03</v>
      </c>
      <c r="O90" t="s">
        <v>171</v>
      </c>
      <c r="P90" t="s">
        <v>21</v>
      </c>
      <c r="Q90">
        <v>4.5</v>
      </c>
    </row>
    <row r="91" spans="1:17" hidden="1" x14ac:dyDescent="0.35">
      <c r="A91" t="s">
        <v>172</v>
      </c>
      <c r="B91" s="1">
        <v>46217</v>
      </c>
      <c r="C91" t="s">
        <v>18</v>
      </c>
      <c r="D91" t="s">
        <v>42</v>
      </c>
      <c r="E91" s="2">
        <v>0.78819444444444442</v>
      </c>
      <c r="F91">
        <v>4</v>
      </c>
      <c r="G91">
        <v>463.34</v>
      </c>
      <c r="H91">
        <v>2.72</v>
      </c>
      <c r="I91">
        <v>0.75</v>
      </c>
      <c r="J91">
        <v>0.57999999999999996</v>
      </c>
      <c r="K91">
        <v>0.65</v>
      </c>
      <c r="L91">
        <v>8.64</v>
      </c>
      <c r="M91">
        <v>13.34</v>
      </c>
      <c r="N91">
        <v>3.62</v>
      </c>
      <c r="O91" t="s">
        <v>76</v>
      </c>
      <c r="P91" t="s">
        <v>125</v>
      </c>
    </row>
    <row r="92" spans="1:17" x14ac:dyDescent="0.35">
      <c r="A92" t="s">
        <v>173</v>
      </c>
      <c r="B92" s="1">
        <v>46225</v>
      </c>
      <c r="C92" t="s">
        <v>23</v>
      </c>
      <c r="D92" t="s">
        <v>24</v>
      </c>
      <c r="E92" s="2">
        <v>0.35347222222222224</v>
      </c>
      <c r="F92">
        <v>5</v>
      </c>
      <c r="G92">
        <v>341.96</v>
      </c>
      <c r="H92">
        <v>2.84</v>
      </c>
      <c r="I92">
        <v>1.01</v>
      </c>
      <c r="J92">
        <v>0.63</v>
      </c>
      <c r="K92">
        <v>0.77</v>
      </c>
      <c r="L92">
        <v>5.5</v>
      </c>
      <c r="M92">
        <v>10.75</v>
      </c>
      <c r="N92">
        <v>1.78</v>
      </c>
      <c r="O92" t="s">
        <v>174</v>
      </c>
      <c r="P92" t="s">
        <v>21</v>
      </c>
      <c r="Q92">
        <v>4.3</v>
      </c>
    </row>
    <row r="93" spans="1:17" x14ac:dyDescent="0.35">
      <c r="A93" t="s">
        <v>175</v>
      </c>
      <c r="B93" s="1">
        <v>46219</v>
      </c>
      <c r="C93" t="s">
        <v>18</v>
      </c>
      <c r="D93" t="s">
        <v>31</v>
      </c>
      <c r="E93" s="2">
        <v>6.805555555555555E-2</v>
      </c>
      <c r="F93">
        <v>3</v>
      </c>
      <c r="G93">
        <v>351.16</v>
      </c>
      <c r="H93">
        <v>2.69</v>
      </c>
      <c r="I93">
        <v>0.85</v>
      </c>
      <c r="J93">
        <v>1.1100000000000001</v>
      </c>
      <c r="K93">
        <v>0.5</v>
      </c>
      <c r="L93">
        <v>5.78</v>
      </c>
      <c r="M93">
        <v>10.93</v>
      </c>
      <c r="N93">
        <v>2.06</v>
      </c>
      <c r="O93" t="s">
        <v>20</v>
      </c>
      <c r="P93" t="s">
        <v>21</v>
      </c>
      <c r="Q93">
        <v>4.5999999999999996</v>
      </c>
    </row>
    <row r="94" spans="1:17" x14ac:dyDescent="0.35">
      <c r="A94" t="s">
        <v>176</v>
      </c>
      <c r="B94" s="1">
        <v>46229</v>
      </c>
      <c r="C94" t="s">
        <v>18</v>
      </c>
      <c r="D94" t="s">
        <v>42</v>
      </c>
      <c r="E94" s="2">
        <v>0.10555555555555556</v>
      </c>
      <c r="F94">
        <v>8</v>
      </c>
      <c r="G94">
        <v>459.23</v>
      </c>
      <c r="H94">
        <v>3.63</v>
      </c>
      <c r="I94">
        <v>1.32</v>
      </c>
      <c r="J94">
        <v>0.49</v>
      </c>
      <c r="K94">
        <v>0.65</v>
      </c>
      <c r="L94">
        <v>5.48</v>
      </c>
      <c r="M94">
        <v>11.57</v>
      </c>
      <c r="N94">
        <v>2.13</v>
      </c>
      <c r="O94" t="s">
        <v>177</v>
      </c>
      <c r="P94" t="s">
        <v>21</v>
      </c>
      <c r="Q94">
        <v>4.5</v>
      </c>
    </row>
    <row r="95" spans="1:17" x14ac:dyDescent="0.35">
      <c r="A95" t="s">
        <v>178</v>
      </c>
      <c r="B95" s="1">
        <v>46231</v>
      </c>
      <c r="C95" t="s">
        <v>23</v>
      </c>
      <c r="D95" t="s">
        <v>24</v>
      </c>
      <c r="E95" s="2">
        <v>0.63402777777777775</v>
      </c>
      <c r="F95">
        <v>11</v>
      </c>
      <c r="G95">
        <v>566.13</v>
      </c>
      <c r="H95">
        <v>3.96</v>
      </c>
      <c r="I95">
        <v>1.5</v>
      </c>
      <c r="J95">
        <v>0.61</v>
      </c>
      <c r="K95">
        <v>0.85</v>
      </c>
      <c r="L95">
        <v>5.52</v>
      </c>
      <c r="M95">
        <v>12.44</v>
      </c>
      <c r="N95">
        <v>1.79</v>
      </c>
      <c r="O95" t="s">
        <v>79</v>
      </c>
      <c r="P95" t="s">
        <v>21</v>
      </c>
      <c r="Q95">
        <v>4.7</v>
      </c>
    </row>
    <row r="96" spans="1:17" x14ac:dyDescent="0.35">
      <c r="A96" t="s">
        <v>179</v>
      </c>
      <c r="B96" s="1">
        <v>46230</v>
      </c>
      <c r="C96" t="s">
        <v>23</v>
      </c>
      <c r="D96" t="s">
        <v>50</v>
      </c>
      <c r="E96" s="2">
        <v>0.60902777777777772</v>
      </c>
      <c r="F96">
        <v>5</v>
      </c>
      <c r="G96">
        <v>664.45</v>
      </c>
      <c r="H96">
        <v>2.79</v>
      </c>
      <c r="I96">
        <v>1</v>
      </c>
      <c r="J96">
        <v>1.23</v>
      </c>
      <c r="K96">
        <v>0.81</v>
      </c>
      <c r="L96">
        <v>6.53</v>
      </c>
      <c r="M96">
        <v>12.36</v>
      </c>
      <c r="N96">
        <v>2.38</v>
      </c>
      <c r="O96" t="s">
        <v>51</v>
      </c>
      <c r="P96" t="s">
        <v>21</v>
      </c>
      <c r="Q96">
        <v>4.9000000000000004</v>
      </c>
    </row>
    <row r="97" spans="1:17" x14ac:dyDescent="0.35">
      <c r="A97" t="s">
        <v>180</v>
      </c>
      <c r="B97" s="1">
        <v>46223</v>
      </c>
      <c r="C97" t="s">
        <v>18</v>
      </c>
      <c r="D97" t="s">
        <v>31</v>
      </c>
      <c r="E97" s="2">
        <v>0.23402777777777778</v>
      </c>
      <c r="F97">
        <v>5</v>
      </c>
      <c r="G97">
        <v>355.43</v>
      </c>
      <c r="H97">
        <v>2.62</v>
      </c>
      <c r="I97">
        <v>0.89</v>
      </c>
      <c r="J97">
        <v>0.82</v>
      </c>
      <c r="K97">
        <v>0.27</v>
      </c>
      <c r="L97">
        <v>4.37</v>
      </c>
      <c r="M97">
        <v>8.9700000000000006</v>
      </c>
      <c r="N97">
        <v>1.52</v>
      </c>
      <c r="O97" t="s">
        <v>181</v>
      </c>
      <c r="P97" t="s">
        <v>21</v>
      </c>
      <c r="Q97">
        <v>5</v>
      </c>
    </row>
    <row r="98" spans="1:17" x14ac:dyDescent="0.35">
      <c r="A98" t="s">
        <v>182</v>
      </c>
      <c r="B98" s="1">
        <v>46229</v>
      </c>
      <c r="C98" t="s">
        <v>18</v>
      </c>
      <c r="D98" t="s">
        <v>42</v>
      </c>
      <c r="E98" s="2">
        <v>0.57013888888888886</v>
      </c>
      <c r="F98">
        <v>4</v>
      </c>
      <c r="G98">
        <v>768.68</v>
      </c>
      <c r="H98">
        <v>3.06</v>
      </c>
      <c r="I98">
        <v>0.87</v>
      </c>
      <c r="J98">
        <v>1.1000000000000001</v>
      </c>
      <c r="K98">
        <v>0.63</v>
      </c>
      <c r="L98">
        <v>4.71</v>
      </c>
      <c r="M98">
        <v>10.37</v>
      </c>
      <c r="N98">
        <v>1.18</v>
      </c>
      <c r="O98" t="s">
        <v>51</v>
      </c>
      <c r="P98" t="s">
        <v>21</v>
      </c>
      <c r="Q98">
        <v>4.2</v>
      </c>
    </row>
    <row r="99" spans="1:17" x14ac:dyDescent="0.35">
      <c r="A99" t="s">
        <v>183</v>
      </c>
      <c r="B99" s="1">
        <v>46238</v>
      </c>
      <c r="C99" t="s">
        <v>23</v>
      </c>
      <c r="D99" t="s">
        <v>50</v>
      </c>
      <c r="E99" s="2">
        <v>0.82361111111111107</v>
      </c>
      <c r="F99">
        <v>6</v>
      </c>
      <c r="G99">
        <v>451.2</v>
      </c>
      <c r="H99">
        <v>3.13</v>
      </c>
      <c r="I99">
        <v>0.82</v>
      </c>
      <c r="J99">
        <v>2.17</v>
      </c>
      <c r="K99">
        <v>1.01</v>
      </c>
      <c r="L99">
        <v>7.63</v>
      </c>
      <c r="M99">
        <v>14.76</v>
      </c>
      <c r="N99">
        <v>3.01</v>
      </c>
      <c r="O99" t="s">
        <v>184</v>
      </c>
      <c r="P99" t="s">
        <v>21</v>
      </c>
      <c r="Q99">
        <v>4.9000000000000004</v>
      </c>
    </row>
    <row r="100" spans="1:17" x14ac:dyDescent="0.35">
      <c r="A100" t="s">
        <v>185</v>
      </c>
      <c r="B100" s="1">
        <v>46243</v>
      </c>
      <c r="C100" t="s">
        <v>23</v>
      </c>
      <c r="D100" t="s">
        <v>50</v>
      </c>
      <c r="E100" s="2">
        <v>0.66388888888888886</v>
      </c>
      <c r="F100">
        <v>6</v>
      </c>
      <c r="G100">
        <v>496.15</v>
      </c>
      <c r="H100">
        <v>3.79</v>
      </c>
      <c r="I100">
        <v>0.95</v>
      </c>
      <c r="J100">
        <v>0.51</v>
      </c>
      <c r="K100">
        <v>0.94</v>
      </c>
      <c r="L100">
        <v>5.94</v>
      </c>
      <c r="M100">
        <v>12.13</v>
      </c>
      <c r="N100">
        <v>2.77</v>
      </c>
      <c r="O100" t="s">
        <v>186</v>
      </c>
      <c r="P100" t="s">
        <v>21</v>
      </c>
      <c r="Q100">
        <v>4.9000000000000004</v>
      </c>
    </row>
    <row r="101" spans="1:17" x14ac:dyDescent="0.35">
      <c r="A101" t="s">
        <v>187</v>
      </c>
      <c r="B101" s="1">
        <v>46240</v>
      </c>
      <c r="C101" t="s">
        <v>23</v>
      </c>
      <c r="D101" t="s">
        <v>24</v>
      </c>
      <c r="E101" s="2">
        <v>0.1111111111111111</v>
      </c>
      <c r="F101">
        <v>6</v>
      </c>
      <c r="G101">
        <v>365.5</v>
      </c>
      <c r="H101">
        <v>3.1</v>
      </c>
      <c r="I101">
        <v>0.98</v>
      </c>
      <c r="J101">
        <v>0.87</v>
      </c>
      <c r="K101">
        <v>1.45</v>
      </c>
      <c r="L101">
        <v>4.5199999999999996</v>
      </c>
      <c r="M101">
        <v>10.92</v>
      </c>
      <c r="N101">
        <v>1.48</v>
      </c>
      <c r="O101" t="s">
        <v>188</v>
      </c>
      <c r="P101" t="s">
        <v>21</v>
      </c>
      <c r="Q101">
        <v>5</v>
      </c>
    </row>
    <row r="102" spans="1:17" x14ac:dyDescent="0.35">
      <c r="A102" t="s">
        <v>189</v>
      </c>
      <c r="B102" s="1">
        <v>46223</v>
      </c>
      <c r="C102" t="s">
        <v>23</v>
      </c>
      <c r="D102" t="s">
        <v>24</v>
      </c>
      <c r="E102" s="2">
        <v>0.55555555555555558</v>
      </c>
      <c r="F102">
        <v>3</v>
      </c>
      <c r="G102">
        <v>120</v>
      </c>
      <c r="H102">
        <v>2.21</v>
      </c>
      <c r="I102">
        <v>0.73</v>
      </c>
      <c r="J102">
        <v>1.29</v>
      </c>
      <c r="K102">
        <v>0.74</v>
      </c>
      <c r="L102">
        <v>7.14</v>
      </c>
      <c r="M102">
        <v>12.11</v>
      </c>
      <c r="N102">
        <v>3.01</v>
      </c>
      <c r="O102" t="s">
        <v>73</v>
      </c>
      <c r="P102" t="s">
        <v>21</v>
      </c>
      <c r="Q102">
        <v>4.9000000000000004</v>
      </c>
    </row>
    <row r="103" spans="1:17" x14ac:dyDescent="0.35">
      <c r="A103" t="s">
        <v>190</v>
      </c>
      <c r="B103" s="1">
        <v>46236</v>
      </c>
      <c r="C103" t="s">
        <v>46</v>
      </c>
      <c r="D103" t="s">
        <v>47</v>
      </c>
      <c r="E103" s="2">
        <v>0.27569444444444446</v>
      </c>
      <c r="F103">
        <v>3</v>
      </c>
      <c r="G103">
        <v>659.13</v>
      </c>
      <c r="H103">
        <v>1.93</v>
      </c>
      <c r="I103">
        <v>0.81</v>
      </c>
      <c r="J103">
        <v>0.65</v>
      </c>
      <c r="K103">
        <v>0.73</v>
      </c>
      <c r="L103">
        <v>6.26</v>
      </c>
      <c r="M103">
        <v>10.38</v>
      </c>
      <c r="N103">
        <v>1.63</v>
      </c>
      <c r="O103" t="s">
        <v>186</v>
      </c>
      <c r="P103" t="s">
        <v>21</v>
      </c>
      <c r="Q103">
        <v>5</v>
      </c>
    </row>
    <row r="104" spans="1:17" x14ac:dyDescent="0.35">
      <c r="A104" t="s">
        <v>191</v>
      </c>
      <c r="B104" s="1">
        <v>46231</v>
      </c>
      <c r="C104" t="s">
        <v>46</v>
      </c>
      <c r="D104" t="s">
        <v>58</v>
      </c>
      <c r="E104" s="2">
        <v>0.90277777777777779</v>
      </c>
      <c r="F104">
        <v>6</v>
      </c>
      <c r="G104">
        <v>632.63</v>
      </c>
      <c r="H104">
        <v>2.4900000000000002</v>
      </c>
      <c r="I104">
        <v>0.93</v>
      </c>
      <c r="J104">
        <v>1.73</v>
      </c>
      <c r="K104">
        <v>1.21</v>
      </c>
      <c r="L104">
        <v>7.51</v>
      </c>
      <c r="M104">
        <v>13.87</v>
      </c>
      <c r="N104">
        <v>2.68</v>
      </c>
      <c r="O104" t="s">
        <v>20</v>
      </c>
      <c r="P104" t="s">
        <v>21</v>
      </c>
      <c r="Q104">
        <v>4.7</v>
      </c>
    </row>
    <row r="105" spans="1:17" x14ac:dyDescent="0.35">
      <c r="A105" t="s">
        <v>192</v>
      </c>
      <c r="B105" s="1">
        <v>46228</v>
      </c>
      <c r="C105" t="s">
        <v>23</v>
      </c>
      <c r="D105" t="s">
        <v>24</v>
      </c>
      <c r="E105" s="2">
        <v>0.56597222222222221</v>
      </c>
      <c r="F105">
        <v>3</v>
      </c>
      <c r="G105">
        <v>449.36</v>
      </c>
      <c r="H105">
        <v>1.91</v>
      </c>
      <c r="I105">
        <v>0.92</v>
      </c>
      <c r="J105">
        <v>1.03</v>
      </c>
      <c r="K105">
        <v>0.76</v>
      </c>
      <c r="L105">
        <v>6.52</v>
      </c>
      <c r="M105">
        <v>11.14</v>
      </c>
      <c r="N105">
        <v>2.94</v>
      </c>
      <c r="O105" t="s">
        <v>152</v>
      </c>
      <c r="P105" t="s">
        <v>21</v>
      </c>
      <c r="Q105">
        <v>5</v>
      </c>
    </row>
    <row r="106" spans="1:17" x14ac:dyDescent="0.35">
      <c r="A106" t="s">
        <v>193</v>
      </c>
      <c r="B106" s="1">
        <v>46233</v>
      </c>
      <c r="C106" t="s">
        <v>46</v>
      </c>
      <c r="D106" t="s">
        <v>47</v>
      </c>
      <c r="E106" s="2">
        <v>0.98263888888888884</v>
      </c>
      <c r="F106">
        <v>2</v>
      </c>
      <c r="G106">
        <v>512.05999999999995</v>
      </c>
      <c r="H106">
        <v>2.33</v>
      </c>
      <c r="I106">
        <v>0.71</v>
      </c>
      <c r="J106">
        <v>1.26</v>
      </c>
      <c r="K106">
        <v>0.87</v>
      </c>
      <c r="L106">
        <v>6.33</v>
      </c>
      <c r="M106">
        <v>11.5</v>
      </c>
      <c r="N106">
        <v>2.17</v>
      </c>
      <c r="O106" t="s">
        <v>194</v>
      </c>
      <c r="P106" t="s">
        <v>21</v>
      </c>
      <c r="Q106">
        <v>5</v>
      </c>
    </row>
    <row r="107" spans="1:17" x14ac:dyDescent="0.35">
      <c r="A107" t="s">
        <v>195</v>
      </c>
      <c r="B107" s="1">
        <v>46230</v>
      </c>
      <c r="C107" t="s">
        <v>18</v>
      </c>
      <c r="D107" t="s">
        <v>42</v>
      </c>
      <c r="E107" s="2">
        <v>0.8041666666666667</v>
      </c>
      <c r="F107">
        <v>7</v>
      </c>
      <c r="G107">
        <v>592.87</v>
      </c>
      <c r="H107">
        <v>3.52</v>
      </c>
      <c r="I107">
        <v>1.1100000000000001</v>
      </c>
      <c r="J107">
        <v>1.8</v>
      </c>
      <c r="K107">
        <v>1.1499999999999999</v>
      </c>
      <c r="L107">
        <v>6.63</v>
      </c>
      <c r="M107">
        <v>14.21</v>
      </c>
      <c r="N107">
        <v>2.86</v>
      </c>
      <c r="O107" t="s">
        <v>48</v>
      </c>
      <c r="P107" t="s">
        <v>21</v>
      </c>
      <c r="Q107">
        <v>4.5</v>
      </c>
    </row>
    <row r="108" spans="1:17" x14ac:dyDescent="0.35">
      <c r="A108" t="s">
        <v>196</v>
      </c>
      <c r="B108" s="1">
        <v>46236</v>
      </c>
      <c r="C108" t="s">
        <v>18</v>
      </c>
      <c r="D108" t="s">
        <v>19</v>
      </c>
      <c r="E108" s="2">
        <v>0.84583333333333333</v>
      </c>
      <c r="F108">
        <v>5</v>
      </c>
      <c r="G108">
        <v>218.74</v>
      </c>
      <c r="H108">
        <v>2.35</v>
      </c>
      <c r="I108">
        <v>0.91</v>
      </c>
      <c r="J108">
        <v>1.68</v>
      </c>
      <c r="K108">
        <v>1.41</v>
      </c>
      <c r="L108">
        <v>6.73</v>
      </c>
      <c r="M108">
        <v>13.08</v>
      </c>
      <c r="N108">
        <v>1.99</v>
      </c>
      <c r="O108" t="s">
        <v>40</v>
      </c>
      <c r="P108" t="s">
        <v>21</v>
      </c>
      <c r="Q108">
        <v>5</v>
      </c>
    </row>
    <row r="109" spans="1:17" x14ac:dyDescent="0.35">
      <c r="A109" t="s">
        <v>197</v>
      </c>
      <c r="B109" s="1">
        <v>46239</v>
      </c>
      <c r="C109" t="s">
        <v>18</v>
      </c>
      <c r="D109" t="s">
        <v>42</v>
      </c>
      <c r="E109" s="2">
        <v>0.27777777777777779</v>
      </c>
      <c r="F109">
        <v>4</v>
      </c>
      <c r="G109">
        <v>404.77</v>
      </c>
      <c r="H109">
        <v>2.99</v>
      </c>
      <c r="I109">
        <v>0.89</v>
      </c>
      <c r="J109">
        <v>1.61</v>
      </c>
      <c r="K109">
        <v>0.71</v>
      </c>
      <c r="L109">
        <v>5.57</v>
      </c>
      <c r="M109">
        <v>11.77</v>
      </c>
      <c r="N109">
        <v>2.02</v>
      </c>
      <c r="O109" t="s">
        <v>198</v>
      </c>
      <c r="P109" t="s">
        <v>21</v>
      </c>
      <c r="Q109">
        <v>5</v>
      </c>
    </row>
    <row r="110" spans="1:17" x14ac:dyDescent="0.35">
      <c r="A110" t="s">
        <v>199</v>
      </c>
      <c r="B110" s="1">
        <v>46241</v>
      </c>
      <c r="C110" t="s">
        <v>23</v>
      </c>
      <c r="D110" t="s">
        <v>24</v>
      </c>
      <c r="E110" s="2">
        <v>0.44374999999999998</v>
      </c>
      <c r="F110">
        <v>6</v>
      </c>
      <c r="G110">
        <v>642.97</v>
      </c>
      <c r="H110">
        <v>2.95</v>
      </c>
      <c r="I110">
        <v>1.1299999999999999</v>
      </c>
      <c r="J110">
        <v>1.72</v>
      </c>
      <c r="K110">
        <v>1</v>
      </c>
      <c r="L110">
        <v>5.76</v>
      </c>
      <c r="M110">
        <v>12.56</v>
      </c>
      <c r="N110">
        <v>2.0099999999999998</v>
      </c>
      <c r="O110" t="s">
        <v>83</v>
      </c>
      <c r="P110" t="s">
        <v>21</v>
      </c>
      <c r="Q110">
        <v>5</v>
      </c>
    </row>
    <row r="111" spans="1:17" x14ac:dyDescent="0.35">
      <c r="A111" t="s">
        <v>200</v>
      </c>
      <c r="B111" s="1">
        <v>46240</v>
      </c>
      <c r="C111" t="s">
        <v>23</v>
      </c>
      <c r="D111" t="s">
        <v>50</v>
      </c>
      <c r="E111" s="2">
        <v>0.73333333333333328</v>
      </c>
      <c r="F111">
        <v>6</v>
      </c>
      <c r="G111">
        <v>274.23</v>
      </c>
      <c r="H111">
        <v>3.17</v>
      </c>
      <c r="I111">
        <v>0.93</v>
      </c>
      <c r="J111">
        <v>1.45</v>
      </c>
      <c r="K111">
        <v>0.74</v>
      </c>
      <c r="L111">
        <v>5.8</v>
      </c>
      <c r="M111">
        <v>12.09</v>
      </c>
      <c r="N111">
        <v>1.53</v>
      </c>
      <c r="O111" t="s">
        <v>56</v>
      </c>
      <c r="P111" t="s">
        <v>21</v>
      </c>
      <c r="Q111">
        <v>4.2</v>
      </c>
    </row>
    <row r="112" spans="1:17" x14ac:dyDescent="0.35">
      <c r="A112" t="s">
        <v>201</v>
      </c>
      <c r="B112" s="1">
        <v>46243</v>
      </c>
      <c r="C112" t="s">
        <v>18</v>
      </c>
      <c r="D112" t="s">
        <v>19</v>
      </c>
      <c r="E112" s="2">
        <v>0.47708333333333336</v>
      </c>
      <c r="F112">
        <v>2</v>
      </c>
      <c r="G112">
        <v>552.84</v>
      </c>
      <c r="H112">
        <v>2.8</v>
      </c>
      <c r="I112">
        <v>0.63</v>
      </c>
      <c r="J112">
        <v>1.1399999999999999</v>
      </c>
      <c r="K112">
        <v>1.01</v>
      </c>
      <c r="L112">
        <v>5.15</v>
      </c>
      <c r="M112">
        <v>10.73</v>
      </c>
      <c r="N112">
        <v>2.04</v>
      </c>
      <c r="O112" t="s">
        <v>202</v>
      </c>
      <c r="P112" t="s">
        <v>21</v>
      </c>
      <c r="Q112">
        <v>4.3</v>
      </c>
    </row>
    <row r="113" spans="1:17" x14ac:dyDescent="0.35">
      <c r="A113" t="s">
        <v>203</v>
      </c>
      <c r="B113" s="1">
        <v>46243</v>
      </c>
      <c r="C113" t="s">
        <v>18</v>
      </c>
      <c r="D113" t="s">
        <v>42</v>
      </c>
      <c r="E113" s="2">
        <v>0.31874999999999998</v>
      </c>
      <c r="F113">
        <v>6</v>
      </c>
      <c r="G113">
        <v>255.82</v>
      </c>
      <c r="H113">
        <v>3.43</v>
      </c>
      <c r="I113">
        <v>0.99</v>
      </c>
      <c r="J113">
        <v>0.83</v>
      </c>
      <c r="K113">
        <v>0.74</v>
      </c>
      <c r="L113">
        <v>3.19</v>
      </c>
      <c r="M113">
        <v>9.18</v>
      </c>
      <c r="N113">
        <v>0.81</v>
      </c>
      <c r="O113" t="s">
        <v>188</v>
      </c>
      <c r="P113" t="s">
        <v>21</v>
      </c>
      <c r="Q113">
        <v>5</v>
      </c>
    </row>
    <row r="114" spans="1:17" x14ac:dyDescent="0.35">
      <c r="A114" t="s">
        <v>204</v>
      </c>
      <c r="B114" s="1">
        <v>46243</v>
      </c>
      <c r="C114" t="s">
        <v>23</v>
      </c>
      <c r="D114" t="s">
        <v>24</v>
      </c>
      <c r="E114" s="2">
        <v>0.66249999999999998</v>
      </c>
      <c r="F114">
        <v>8</v>
      </c>
      <c r="G114">
        <v>583.96</v>
      </c>
      <c r="H114">
        <v>3.47</v>
      </c>
      <c r="I114">
        <v>1.03</v>
      </c>
      <c r="J114">
        <v>0.82</v>
      </c>
      <c r="K114">
        <v>0.83</v>
      </c>
      <c r="L114">
        <v>5.1100000000000003</v>
      </c>
      <c r="M114">
        <v>11.26</v>
      </c>
      <c r="N114">
        <v>1.76</v>
      </c>
      <c r="O114" t="s">
        <v>205</v>
      </c>
      <c r="P114" t="s">
        <v>21</v>
      </c>
      <c r="Q114">
        <v>4.9000000000000004</v>
      </c>
    </row>
    <row r="115" spans="1:17" x14ac:dyDescent="0.35">
      <c r="A115" t="s">
        <v>206</v>
      </c>
      <c r="B115" s="1">
        <v>46228</v>
      </c>
      <c r="C115" t="s">
        <v>46</v>
      </c>
      <c r="D115" t="s">
        <v>58</v>
      </c>
      <c r="E115" s="2">
        <v>0.32569444444444445</v>
      </c>
      <c r="F115">
        <v>6</v>
      </c>
      <c r="G115">
        <v>493.58</v>
      </c>
      <c r="H115">
        <v>2.81</v>
      </c>
      <c r="I115">
        <v>0.93</v>
      </c>
      <c r="J115">
        <v>1.05</v>
      </c>
      <c r="K115">
        <v>0.62</v>
      </c>
      <c r="L115">
        <v>6.28</v>
      </c>
      <c r="M115">
        <v>11.69</v>
      </c>
      <c r="N115">
        <v>1.94</v>
      </c>
      <c r="O115" t="s">
        <v>71</v>
      </c>
      <c r="P115" t="s">
        <v>21</v>
      </c>
      <c r="Q115">
        <v>4.5</v>
      </c>
    </row>
    <row r="116" spans="1:17" x14ac:dyDescent="0.35">
      <c r="A116" t="s">
        <v>207</v>
      </c>
      <c r="B116" s="1">
        <v>46224</v>
      </c>
      <c r="C116" t="s">
        <v>18</v>
      </c>
      <c r="D116" t="s">
        <v>31</v>
      </c>
      <c r="E116" s="2">
        <v>0.97083333333333333</v>
      </c>
      <c r="F116">
        <v>5</v>
      </c>
      <c r="G116">
        <v>209.28</v>
      </c>
      <c r="H116">
        <v>2.15</v>
      </c>
      <c r="I116">
        <v>0.89</v>
      </c>
      <c r="J116">
        <v>1.37</v>
      </c>
      <c r="K116">
        <v>0.85</v>
      </c>
      <c r="L116">
        <v>4.92</v>
      </c>
      <c r="M116">
        <v>10.18</v>
      </c>
      <c r="N116">
        <v>1.97</v>
      </c>
      <c r="O116" t="s">
        <v>44</v>
      </c>
      <c r="P116" t="s">
        <v>21</v>
      </c>
      <c r="Q116">
        <v>5</v>
      </c>
    </row>
    <row r="117" spans="1:17" x14ac:dyDescent="0.35">
      <c r="A117" t="s">
        <v>208</v>
      </c>
      <c r="B117" s="1">
        <v>46230</v>
      </c>
      <c r="C117" t="s">
        <v>23</v>
      </c>
      <c r="D117" t="s">
        <v>35</v>
      </c>
      <c r="E117" s="2">
        <v>0.72569444444444442</v>
      </c>
      <c r="F117">
        <v>5</v>
      </c>
      <c r="G117">
        <v>709.65</v>
      </c>
      <c r="H117">
        <v>2.65</v>
      </c>
      <c r="I117">
        <v>1.05</v>
      </c>
      <c r="J117">
        <v>1.83</v>
      </c>
      <c r="K117">
        <v>0.96</v>
      </c>
      <c r="L117">
        <v>4.21</v>
      </c>
      <c r="M117">
        <v>10.7</v>
      </c>
      <c r="N117">
        <v>1.98</v>
      </c>
      <c r="O117" t="s">
        <v>127</v>
      </c>
      <c r="P117" t="s">
        <v>21</v>
      </c>
      <c r="Q117">
        <v>5</v>
      </c>
    </row>
    <row r="118" spans="1:17" x14ac:dyDescent="0.35">
      <c r="A118" t="s">
        <v>209</v>
      </c>
      <c r="B118" s="1">
        <v>46228</v>
      </c>
      <c r="C118" t="s">
        <v>46</v>
      </c>
      <c r="D118" t="s">
        <v>58</v>
      </c>
      <c r="E118" s="2">
        <v>0.52013888888888893</v>
      </c>
      <c r="F118">
        <v>1</v>
      </c>
      <c r="G118">
        <v>367.77</v>
      </c>
      <c r="H118">
        <v>1.95</v>
      </c>
      <c r="I118">
        <v>0.66</v>
      </c>
      <c r="J118">
        <v>1.1000000000000001</v>
      </c>
      <c r="K118">
        <v>0.45</v>
      </c>
      <c r="L118">
        <v>5.77</v>
      </c>
      <c r="M118">
        <v>9.93</v>
      </c>
      <c r="N118">
        <v>2.14</v>
      </c>
      <c r="O118" t="s">
        <v>29</v>
      </c>
      <c r="P118" t="s">
        <v>21</v>
      </c>
      <c r="Q118">
        <v>5</v>
      </c>
    </row>
    <row r="119" spans="1:17" x14ac:dyDescent="0.35">
      <c r="A119" t="s">
        <v>210</v>
      </c>
      <c r="B119" s="1">
        <v>46216</v>
      </c>
      <c r="C119" t="s">
        <v>46</v>
      </c>
      <c r="D119" t="s">
        <v>47</v>
      </c>
      <c r="E119" s="2">
        <v>2.5694444444444443E-2</v>
      </c>
      <c r="F119">
        <v>3</v>
      </c>
      <c r="G119">
        <v>354.15</v>
      </c>
      <c r="H119">
        <v>2.11</v>
      </c>
      <c r="I119">
        <v>0.81</v>
      </c>
      <c r="J119">
        <v>0.3</v>
      </c>
      <c r="K119">
        <v>0.56000000000000005</v>
      </c>
      <c r="L119">
        <v>7.08</v>
      </c>
      <c r="M119">
        <v>10.86</v>
      </c>
      <c r="N119">
        <v>2.63</v>
      </c>
      <c r="O119" t="s">
        <v>59</v>
      </c>
      <c r="P119" t="s">
        <v>21</v>
      </c>
      <c r="Q119">
        <v>4.4000000000000004</v>
      </c>
    </row>
    <row r="120" spans="1:17" x14ac:dyDescent="0.35">
      <c r="A120" t="s">
        <v>211</v>
      </c>
      <c r="B120" s="1">
        <v>46240</v>
      </c>
      <c r="C120" t="s">
        <v>46</v>
      </c>
      <c r="D120" t="s">
        <v>58</v>
      </c>
      <c r="E120" s="2">
        <v>0.15902777777777777</v>
      </c>
      <c r="F120">
        <v>6</v>
      </c>
      <c r="G120">
        <v>536.1</v>
      </c>
      <c r="H120">
        <v>3.07</v>
      </c>
      <c r="I120">
        <v>1.1299999999999999</v>
      </c>
      <c r="J120">
        <v>1.48</v>
      </c>
      <c r="K120">
        <v>0.78</v>
      </c>
      <c r="L120">
        <v>7.99</v>
      </c>
      <c r="M120">
        <v>14.45</v>
      </c>
      <c r="N120">
        <v>2.99</v>
      </c>
      <c r="O120" t="s">
        <v>212</v>
      </c>
      <c r="P120" t="s">
        <v>21</v>
      </c>
      <c r="Q120">
        <v>4.4000000000000004</v>
      </c>
    </row>
    <row r="121" spans="1:17" x14ac:dyDescent="0.35">
      <c r="A121" t="s">
        <v>213</v>
      </c>
      <c r="B121" s="1">
        <v>46222</v>
      </c>
      <c r="C121" t="s">
        <v>23</v>
      </c>
      <c r="D121" t="s">
        <v>50</v>
      </c>
      <c r="E121" s="2">
        <v>0.96388888888888891</v>
      </c>
      <c r="F121">
        <v>3</v>
      </c>
      <c r="G121">
        <v>706.75</v>
      </c>
      <c r="H121">
        <v>2.4900000000000002</v>
      </c>
      <c r="I121">
        <v>0.77</v>
      </c>
      <c r="J121">
        <v>0.4</v>
      </c>
      <c r="K121">
        <v>0.32</v>
      </c>
      <c r="L121">
        <v>4.96</v>
      </c>
      <c r="M121">
        <v>8.94</v>
      </c>
      <c r="N121">
        <v>1.62</v>
      </c>
      <c r="O121" t="s">
        <v>53</v>
      </c>
      <c r="P121" t="s">
        <v>21</v>
      </c>
      <c r="Q121">
        <v>4.8</v>
      </c>
    </row>
    <row r="122" spans="1:17" x14ac:dyDescent="0.35">
      <c r="A122" t="s">
        <v>214</v>
      </c>
      <c r="B122" s="1">
        <v>46224</v>
      </c>
      <c r="C122" t="s">
        <v>18</v>
      </c>
      <c r="D122" t="s">
        <v>31</v>
      </c>
      <c r="E122" s="2">
        <v>0.39027777777777778</v>
      </c>
      <c r="F122">
        <v>6</v>
      </c>
      <c r="G122">
        <v>317.14999999999998</v>
      </c>
      <c r="H122">
        <v>3.04</v>
      </c>
      <c r="I122">
        <v>1.08</v>
      </c>
      <c r="J122">
        <v>1.0900000000000001</v>
      </c>
      <c r="K122">
        <v>0.63</v>
      </c>
      <c r="L122">
        <v>4.21</v>
      </c>
      <c r="M122">
        <v>10.050000000000001</v>
      </c>
      <c r="N122">
        <v>1.1200000000000001</v>
      </c>
      <c r="O122" t="s">
        <v>59</v>
      </c>
      <c r="P122" t="s">
        <v>21</v>
      </c>
      <c r="Q122">
        <v>4.8</v>
      </c>
    </row>
    <row r="123" spans="1:17" x14ac:dyDescent="0.35">
      <c r="A123" t="s">
        <v>215</v>
      </c>
      <c r="B123" s="1">
        <v>46239</v>
      </c>
      <c r="C123" t="s">
        <v>18</v>
      </c>
      <c r="D123" t="s">
        <v>42</v>
      </c>
      <c r="E123" s="2">
        <v>0.3034722222222222</v>
      </c>
      <c r="F123">
        <v>1</v>
      </c>
      <c r="G123">
        <v>511.1</v>
      </c>
      <c r="H123">
        <v>1.79</v>
      </c>
      <c r="I123">
        <v>0.62</v>
      </c>
      <c r="J123">
        <v>1.2</v>
      </c>
      <c r="K123">
        <v>0.85</v>
      </c>
      <c r="L123">
        <v>5.29</v>
      </c>
      <c r="M123">
        <v>9.75</v>
      </c>
      <c r="N123">
        <v>1.26</v>
      </c>
      <c r="O123" t="s">
        <v>148</v>
      </c>
      <c r="P123" t="s">
        <v>21</v>
      </c>
      <c r="Q123">
        <v>4.8</v>
      </c>
    </row>
    <row r="124" spans="1:17" x14ac:dyDescent="0.35">
      <c r="A124" t="s">
        <v>216</v>
      </c>
      <c r="B124" s="1">
        <v>46216</v>
      </c>
      <c r="C124" t="s">
        <v>18</v>
      </c>
      <c r="D124" t="s">
        <v>42</v>
      </c>
      <c r="E124" s="2">
        <v>0.90694444444444444</v>
      </c>
      <c r="F124">
        <v>3</v>
      </c>
      <c r="G124">
        <v>577.19000000000005</v>
      </c>
      <c r="H124">
        <v>2.52</v>
      </c>
      <c r="I124">
        <v>0.82</v>
      </c>
      <c r="J124">
        <v>2.35</v>
      </c>
      <c r="K124">
        <v>1.24</v>
      </c>
      <c r="L124">
        <v>5.14</v>
      </c>
      <c r="M124">
        <v>12.07</v>
      </c>
      <c r="N124">
        <v>2.0099999999999998</v>
      </c>
      <c r="O124" t="s">
        <v>29</v>
      </c>
      <c r="P124" t="s">
        <v>21</v>
      </c>
      <c r="Q124">
        <v>4.5</v>
      </c>
    </row>
    <row r="125" spans="1:17" x14ac:dyDescent="0.35">
      <c r="A125" t="s">
        <v>217</v>
      </c>
      <c r="B125" s="1">
        <v>46227</v>
      </c>
      <c r="C125" t="s">
        <v>46</v>
      </c>
      <c r="D125" t="s">
        <v>58</v>
      </c>
      <c r="E125" s="2">
        <v>1.8055555555555554E-2</v>
      </c>
      <c r="F125">
        <v>2</v>
      </c>
      <c r="G125">
        <v>624.76</v>
      </c>
      <c r="H125">
        <v>2.39</v>
      </c>
      <c r="I125">
        <v>0.64</v>
      </c>
      <c r="J125">
        <v>1.96</v>
      </c>
      <c r="K125">
        <v>0.75</v>
      </c>
      <c r="L125">
        <v>5.4</v>
      </c>
      <c r="M125">
        <v>11.14</v>
      </c>
      <c r="N125">
        <v>1.88</v>
      </c>
      <c r="O125" t="s">
        <v>51</v>
      </c>
      <c r="P125" t="s">
        <v>21</v>
      </c>
      <c r="Q125">
        <v>4.3</v>
      </c>
    </row>
    <row r="126" spans="1:17" x14ac:dyDescent="0.35">
      <c r="A126" t="s">
        <v>218</v>
      </c>
      <c r="B126" s="1">
        <v>46223</v>
      </c>
      <c r="C126" t="s">
        <v>18</v>
      </c>
      <c r="D126" t="s">
        <v>42</v>
      </c>
      <c r="E126" s="2">
        <v>0.15625</v>
      </c>
      <c r="F126">
        <v>3</v>
      </c>
      <c r="G126">
        <v>531.76</v>
      </c>
      <c r="H126">
        <v>2.08</v>
      </c>
      <c r="I126">
        <v>0.5</v>
      </c>
      <c r="J126">
        <v>1.08</v>
      </c>
      <c r="K126">
        <v>0.42</v>
      </c>
      <c r="L126">
        <v>5.15</v>
      </c>
      <c r="M126">
        <v>9.23</v>
      </c>
      <c r="N126">
        <v>1.51</v>
      </c>
      <c r="O126" t="s">
        <v>219</v>
      </c>
      <c r="P126" t="s">
        <v>21</v>
      </c>
      <c r="Q126">
        <v>5</v>
      </c>
    </row>
    <row r="127" spans="1:17" x14ac:dyDescent="0.35">
      <c r="A127" t="s">
        <v>220</v>
      </c>
      <c r="B127" s="1">
        <v>46239</v>
      </c>
      <c r="C127" t="s">
        <v>46</v>
      </c>
      <c r="D127" t="s">
        <v>47</v>
      </c>
      <c r="E127" s="2">
        <v>0.90277777777777779</v>
      </c>
      <c r="F127">
        <v>5</v>
      </c>
      <c r="G127">
        <v>433.93</v>
      </c>
      <c r="H127">
        <v>3.39</v>
      </c>
      <c r="I127">
        <v>0.93</v>
      </c>
      <c r="J127">
        <v>1.95</v>
      </c>
      <c r="K127">
        <v>1.06</v>
      </c>
      <c r="L127">
        <v>5.28</v>
      </c>
      <c r="M127">
        <v>12.61</v>
      </c>
      <c r="N127">
        <v>1.28</v>
      </c>
      <c r="O127" t="s">
        <v>212</v>
      </c>
      <c r="P127" t="s">
        <v>21</v>
      </c>
      <c r="Q127">
        <v>4.4000000000000004</v>
      </c>
    </row>
    <row r="128" spans="1:17" x14ac:dyDescent="0.35">
      <c r="A128" t="s">
        <v>221</v>
      </c>
      <c r="B128" s="1">
        <v>46226</v>
      </c>
      <c r="C128" t="s">
        <v>46</v>
      </c>
      <c r="D128" t="s">
        <v>58</v>
      </c>
      <c r="E128" s="2">
        <v>0.55347222222222225</v>
      </c>
      <c r="F128">
        <v>4</v>
      </c>
      <c r="G128">
        <v>351.03</v>
      </c>
      <c r="H128">
        <v>2.65</v>
      </c>
      <c r="I128">
        <v>1.04</v>
      </c>
      <c r="J128">
        <v>1.06</v>
      </c>
      <c r="K128">
        <v>0.85</v>
      </c>
      <c r="L128">
        <v>5.19</v>
      </c>
      <c r="M128">
        <v>10.79</v>
      </c>
      <c r="N128">
        <v>1.79</v>
      </c>
      <c r="O128" t="s">
        <v>167</v>
      </c>
      <c r="P128" t="s">
        <v>21</v>
      </c>
      <c r="Q128">
        <v>3.6</v>
      </c>
    </row>
    <row r="129" spans="1:17" x14ac:dyDescent="0.35">
      <c r="A129" t="s">
        <v>222</v>
      </c>
      <c r="B129" s="1">
        <v>46234</v>
      </c>
      <c r="C129" t="s">
        <v>46</v>
      </c>
      <c r="D129" t="s">
        <v>58</v>
      </c>
      <c r="E129" s="2">
        <v>0.19652777777777777</v>
      </c>
      <c r="F129">
        <v>5</v>
      </c>
      <c r="G129">
        <v>515.51</v>
      </c>
      <c r="H129">
        <v>2.91</v>
      </c>
      <c r="I129">
        <v>1.06</v>
      </c>
      <c r="J129">
        <v>1.3</v>
      </c>
      <c r="K129">
        <v>1.17</v>
      </c>
      <c r="L129">
        <v>6.38</v>
      </c>
      <c r="M129">
        <v>12.82</v>
      </c>
      <c r="N129">
        <v>2.36</v>
      </c>
      <c r="O129" t="s">
        <v>90</v>
      </c>
      <c r="P129" t="s">
        <v>21</v>
      </c>
      <c r="Q129">
        <v>5</v>
      </c>
    </row>
    <row r="130" spans="1:17" hidden="1" x14ac:dyDescent="0.35">
      <c r="A130" t="s">
        <v>223</v>
      </c>
      <c r="B130" s="1">
        <v>46232</v>
      </c>
      <c r="C130" t="s">
        <v>23</v>
      </c>
      <c r="D130" t="s">
        <v>35</v>
      </c>
      <c r="E130" s="2">
        <v>0.60972222222222228</v>
      </c>
      <c r="F130">
        <v>5</v>
      </c>
      <c r="G130">
        <v>307.01</v>
      </c>
      <c r="H130">
        <v>3.15</v>
      </c>
      <c r="I130">
        <v>1.07</v>
      </c>
      <c r="J130">
        <v>1.23</v>
      </c>
      <c r="K130">
        <v>0.5</v>
      </c>
      <c r="L130">
        <v>5.58</v>
      </c>
      <c r="M130">
        <v>11.53</v>
      </c>
      <c r="N130">
        <v>2.74</v>
      </c>
      <c r="O130" t="s">
        <v>224</v>
      </c>
      <c r="P130" t="s">
        <v>125</v>
      </c>
    </row>
    <row r="131" spans="1:17" x14ac:dyDescent="0.35">
      <c r="A131" t="s">
        <v>225</v>
      </c>
      <c r="B131" s="1">
        <v>46223</v>
      </c>
      <c r="C131" t="s">
        <v>23</v>
      </c>
      <c r="D131" t="s">
        <v>24</v>
      </c>
      <c r="E131" s="2">
        <v>0.66597222222222219</v>
      </c>
      <c r="F131">
        <v>8</v>
      </c>
      <c r="G131">
        <v>120</v>
      </c>
      <c r="H131">
        <v>3.64</v>
      </c>
      <c r="I131">
        <v>1.34</v>
      </c>
      <c r="J131">
        <v>1.5</v>
      </c>
      <c r="K131">
        <v>0.33</v>
      </c>
      <c r="L131">
        <v>4.97</v>
      </c>
      <c r="M131">
        <v>11.78</v>
      </c>
      <c r="N131">
        <v>1.7</v>
      </c>
      <c r="O131" t="s">
        <v>226</v>
      </c>
      <c r="P131" t="s">
        <v>21</v>
      </c>
      <c r="Q131">
        <v>4.5999999999999996</v>
      </c>
    </row>
    <row r="132" spans="1:17" x14ac:dyDescent="0.35">
      <c r="A132" t="s">
        <v>227</v>
      </c>
      <c r="B132" s="1">
        <v>46218</v>
      </c>
      <c r="C132" t="s">
        <v>23</v>
      </c>
      <c r="D132" t="s">
        <v>24</v>
      </c>
      <c r="E132" s="2">
        <v>0.31388888888888888</v>
      </c>
      <c r="F132">
        <v>2</v>
      </c>
      <c r="G132">
        <v>578.58000000000004</v>
      </c>
      <c r="H132">
        <v>2.57</v>
      </c>
      <c r="I132">
        <v>0.72</v>
      </c>
      <c r="J132">
        <v>0.83</v>
      </c>
      <c r="K132">
        <v>0.89</v>
      </c>
      <c r="L132">
        <v>5.79</v>
      </c>
      <c r="M132">
        <v>10.8</v>
      </c>
      <c r="N132">
        <v>1.83</v>
      </c>
      <c r="O132" t="s">
        <v>167</v>
      </c>
      <c r="P132" t="s">
        <v>21</v>
      </c>
      <c r="Q132">
        <v>4.9000000000000004</v>
      </c>
    </row>
    <row r="133" spans="1:17" x14ac:dyDescent="0.35">
      <c r="A133" t="s">
        <v>228</v>
      </c>
      <c r="B133" s="1">
        <v>46218</v>
      </c>
      <c r="C133" t="s">
        <v>46</v>
      </c>
      <c r="D133" t="s">
        <v>47</v>
      </c>
      <c r="E133" s="2">
        <v>0.70763888888888893</v>
      </c>
      <c r="F133">
        <v>5</v>
      </c>
      <c r="G133">
        <v>662.71</v>
      </c>
      <c r="H133">
        <v>3</v>
      </c>
      <c r="I133">
        <v>0.97</v>
      </c>
      <c r="J133">
        <v>0.92</v>
      </c>
      <c r="K133">
        <v>0.62</v>
      </c>
      <c r="L133">
        <v>4.28</v>
      </c>
      <c r="M133">
        <v>9.7899999999999991</v>
      </c>
      <c r="N133">
        <v>1.37</v>
      </c>
      <c r="O133" t="s">
        <v>229</v>
      </c>
      <c r="P133" t="s">
        <v>21</v>
      </c>
      <c r="Q133">
        <v>4.5</v>
      </c>
    </row>
    <row r="134" spans="1:17" x14ac:dyDescent="0.35">
      <c r="A134" t="s">
        <v>230</v>
      </c>
      <c r="B134" s="1">
        <v>46216</v>
      </c>
      <c r="C134" t="s">
        <v>23</v>
      </c>
      <c r="D134" t="s">
        <v>35</v>
      </c>
      <c r="E134" s="2">
        <v>0.56597222222222221</v>
      </c>
      <c r="F134">
        <v>7</v>
      </c>
      <c r="G134">
        <v>120</v>
      </c>
      <c r="H134">
        <v>3.13</v>
      </c>
      <c r="I134">
        <v>1.04</v>
      </c>
      <c r="J134">
        <v>1.33</v>
      </c>
      <c r="K134">
        <v>0.39</v>
      </c>
      <c r="L134">
        <v>6.1</v>
      </c>
      <c r="M134">
        <v>11.99</v>
      </c>
      <c r="N134">
        <v>2.17</v>
      </c>
      <c r="O134" t="s">
        <v>114</v>
      </c>
      <c r="P134" t="s">
        <v>21</v>
      </c>
      <c r="Q134">
        <v>5</v>
      </c>
    </row>
    <row r="135" spans="1:17" x14ac:dyDescent="0.35">
      <c r="A135" t="s">
        <v>231</v>
      </c>
      <c r="B135" s="1">
        <v>46242</v>
      </c>
      <c r="C135" t="s">
        <v>18</v>
      </c>
      <c r="D135" t="s">
        <v>31</v>
      </c>
      <c r="E135" s="2">
        <v>0.45694444444444443</v>
      </c>
      <c r="F135">
        <v>6</v>
      </c>
      <c r="G135">
        <v>318.25</v>
      </c>
      <c r="H135">
        <v>3.25</v>
      </c>
      <c r="I135">
        <v>0.99</v>
      </c>
      <c r="J135">
        <v>1.61</v>
      </c>
      <c r="K135">
        <v>1.01</v>
      </c>
      <c r="L135">
        <v>5.18</v>
      </c>
      <c r="M135">
        <v>12.04</v>
      </c>
      <c r="N135">
        <v>1.44</v>
      </c>
      <c r="O135" t="s">
        <v>150</v>
      </c>
      <c r="P135" t="s">
        <v>21</v>
      </c>
      <c r="Q135">
        <v>5</v>
      </c>
    </row>
    <row r="136" spans="1:17" x14ac:dyDescent="0.35">
      <c r="A136" t="s">
        <v>232</v>
      </c>
      <c r="B136" s="1">
        <v>46220</v>
      </c>
      <c r="C136" t="s">
        <v>23</v>
      </c>
      <c r="D136" t="s">
        <v>24</v>
      </c>
      <c r="E136" s="2">
        <v>0.37916666666666665</v>
      </c>
      <c r="F136">
        <v>2</v>
      </c>
      <c r="G136">
        <v>611.45000000000005</v>
      </c>
      <c r="H136">
        <v>1.84</v>
      </c>
      <c r="I136">
        <v>0.78</v>
      </c>
      <c r="J136">
        <v>1.04</v>
      </c>
      <c r="K136">
        <v>0.2</v>
      </c>
      <c r="L136">
        <v>6.73</v>
      </c>
      <c r="M136">
        <v>10.59</v>
      </c>
      <c r="N136">
        <v>2.72</v>
      </c>
      <c r="O136" t="s">
        <v>152</v>
      </c>
      <c r="P136" t="s">
        <v>21</v>
      </c>
      <c r="Q136">
        <v>5</v>
      </c>
    </row>
    <row r="137" spans="1:17" x14ac:dyDescent="0.35">
      <c r="A137" t="s">
        <v>233</v>
      </c>
      <c r="B137" s="1">
        <v>46225</v>
      </c>
      <c r="C137" t="s">
        <v>18</v>
      </c>
      <c r="D137" t="s">
        <v>42</v>
      </c>
      <c r="E137" s="2">
        <v>0.84375</v>
      </c>
      <c r="F137">
        <v>7</v>
      </c>
      <c r="G137">
        <v>870.35</v>
      </c>
      <c r="H137">
        <v>3.38</v>
      </c>
      <c r="I137">
        <v>1.25</v>
      </c>
      <c r="J137">
        <v>1.55</v>
      </c>
      <c r="K137">
        <v>0.92</v>
      </c>
      <c r="L137">
        <v>4.45</v>
      </c>
      <c r="M137">
        <v>11.55</v>
      </c>
      <c r="N137">
        <v>0.84</v>
      </c>
      <c r="O137" t="s">
        <v>65</v>
      </c>
      <c r="P137" t="s">
        <v>21</v>
      </c>
      <c r="Q137">
        <v>5</v>
      </c>
    </row>
    <row r="138" spans="1:17" x14ac:dyDescent="0.35">
      <c r="A138" t="s">
        <v>234</v>
      </c>
      <c r="B138" s="1">
        <v>46222</v>
      </c>
      <c r="C138" t="s">
        <v>46</v>
      </c>
      <c r="D138" t="s">
        <v>47</v>
      </c>
      <c r="E138" s="2">
        <v>0.74444444444444446</v>
      </c>
      <c r="F138">
        <v>5</v>
      </c>
      <c r="G138">
        <v>503.74</v>
      </c>
      <c r="H138">
        <v>2.89</v>
      </c>
      <c r="I138">
        <v>0.93</v>
      </c>
      <c r="J138">
        <v>0.55000000000000004</v>
      </c>
      <c r="K138">
        <v>0.61</v>
      </c>
      <c r="L138">
        <v>5.08</v>
      </c>
      <c r="M138">
        <v>10.06</v>
      </c>
      <c r="N138">
        <v>1.88</v>
      </c>
      <c r="O138" t="s">
        <v>61</v>
      </c>
      <c r="P138" t="s">
        <v>21</v>
      </c>
      <c r="Q138">
        <v>5</v>
      </c>
    </row>
    <row r="139" spans="1:17" x14ac:dyDescent="0.35">
      <c r="A139" t="s">
        <v>235</v>
      </c>
      <c r="B139" s="1">
        <v>46241</v>
      </c>
      <c r="C139" t="s">
        <v>46</v>
      </c>
      <c r="D139" t="s">
        <v>47</v>
      </c>
      <c r="E139" s="2">
        <v>1.1111111111111112E-2</v>
      </c>
      <c r="F139">
        <v>8</v>
      </c>
      <c r="G139">
        <v>368.96</v>
      </c>
      <c r="H139">
        <v>3.49</v>
      </c>
      <c r="I139">
        <v>1.1399999999999999</v>
      </c>
      <c r="J139">
        <v>0.72</v>
      </c>
      <c r="K139">
        <v>1.08</v>
      </c>
      <c r="L139">
        <v>6.41</v>
      </c>
      <c r="M139">
        <v>12.84</v>
      </c>
      <c r="N139">
        <v>2.4700000000000002</v>
      </c>
      <c r="O139" t="s">
        <v>33</v>
      </c>
      <c r="P139" t="s">
        <v>21</v>
      </c>
      <c r="Q139">
        <v>4.0999999999999996</v>
      </c>
    </row>
    <row r="140" spans="1:17" x14ac:dyDescent="0.35">
      <c r="A140" t="s">
        <v>236</v>
      </c>
      <c r="B140" s="1">
        <v>46224</v>
      </c>
      <c r="C140" t="s">
        <v>23</v>
      </c>
      <c r="D140" t="s">
        <v>35</v>
      </c>
      <c r="E140" s="2">
        <v>0.82986111111111116</v>
      </c>
      <c r="F140">
        <v>5</v>
      </c>
      <c r="G140">
        <v>467.08</v>
      </c>
      <c r="H140">
        <v>2.86</v>
      </c>
      <c r="I140">
        <v>0.95</v>
      </c>
      <c r="J140">
        <v>2.27</v>
      </c>
      <c r="K140">
        <v>0.74</v>
      </c>
      <c r="L140">
        <v>7.45</v>
      </c>
      <c r="M140">
        <v>14.27</v>
      </c>
      <c r="N140">
        <v>2.62</v>
      </c>
      <c r="O140" t="s">
        <v>140</v>
      </c>
      <c r="P140" t="s">
        <v>21</v>
      </c>
      <c r="Q140">
        <v>4.3</v>
      </c>
    </row>
    <row r="141" spans="1:17" x14ac:dyDescent="0.35">
      <c r="A141" t="s">
        <v>237</v>
      </c>
      <c r="B141" s="1">
        <v>46243</v>
      </c>
      <c r="C141" t="s">
        <v>46</v>
      </c>
      <c r="D141" t="s">
        <v>47</v>
      </c>
      <c r="E141" s="2">
        <v>0.86319444444444449</v>
      </c>
      <c r="F141">
        <v>6</v>
      </c>
      <c r="G141">
        <v>747.48</v>
      </c>
      <c r="H141">
        <v>2.46</v>
      </c>
      <c r="I141">
        <v>1.1000000000000001</v>
      </c>
      <c r="J141">
        <v>2.2799999999999998</v>
      </c>
      <c r="K141">
        <v>1.18</v>
      </c>
      <c r="L141">
        <v>10.68</v>
      </c>
      <c r="M141">
        <v>17.7</v>
      </c>
      <c r="N141">
        <v>4.87</v>
      </c>
      <c r="O141" t="s">
        <v>171</v>
      </c>
      <c r="P141" t="s">
        <v>21</v>
      </c>
      <c r="Q141">
        <v>4.0999999999999996</v>
      </c>
    </row>
    <row r="142" spans="1:17" x14ac:dyDescent="0.35">
      <c r="A142" t="s">
        <v>238</v>
      </c>
      <c r="B142" s="1">
        <v>46222</v>
      </c>
      <c r="C142" t="s">
        <v>18</v>
      </c>
      <c r="D142" t="s">
        <v>19</v>
      </c>
      <c r="E142" s="2">
        <v>0.10902777777777778</v>
      </c>
      <c r="F142">
        <v>7</v>
      </c>
      <c r="G142">
        <v>383.73</v>
      </c>
      <c r="H142">
        <v>3.15</v>
      </c>
      <c r="I142">
        <v>0.94</v>
      </c>
      <c r="J142">
        <v>0.91</v>
      </c>
      <c r="K142">
        <v>0.38</v>
      </c>
      <c r="L142">
        <v>6.27</v>
      </c>
      <c r="M142">
        <v>11.65</v>
      </c>
      <c r="N142">
        <v>2.5099999999999998</v>
      </c>
      <c r="O142" t="s">
        <v>194</v>
      </c>
      <c r="P142" t="s">
        <v>21</v>
      </c>
      <c r="Q142">
        <v>4.5999999999999996</v>
      </c>
    </row>
    <row r="143" spans="1:17" x14ac:dyDescent="0.35">
      <c r="A143" t="s">
        <v>239</v>
      </c>
      <c r="B143" s="1">
        <v>46224</v>
      </c>
      <c r="C143" t="s">
        <v>23</v>
      </c>
      <c r="D143" t="s">
        <v>35</v>
      </c>
      <c r="E143" s="2">
        <v>0.33055555555555555</v>
      </c>
      <c r="F143">
        <v>5</v>
      </c>
      <c r="G143">
        <v>356.15</v>
      </c>
      <c r="H143">
        <v>2.93</v>
      </c>
      <c r="I143">
        <v>0.67</v>
      </c>
      <c r="J143">
        <v>1.81</v>
      </c>
      <c r="K143">
        <v>0.72</v>
      </c>
      <c r="L143">
        <v>4.84</v>
      </c>
      <c r="M143">
        <v>10.97</v>
      </c>
      <c r="N143">
        <v>1.3</v>
      </c>
      <c r="O143" t="s">
        <v>152</v>
      </c>
      <c r="P143" t="s">
        <v>21</v>
      </c>
      <c r="Q143">
        <v>4.8</v>
      </c>
    </row>
    <row r="144" spans="1:17" x14ac:dyDescent="0.35">
      <c r="A144" t="s">
        <v>240</v>
      </c>
      <c r="B144" s="1">
        <v>46223</v>
      </c>
      <c r="C144" t="s">
        <v>18</v>
      </c>
      <c r="D144" t="s">
        <v>19</v>
      </c>
      <c r="E144" s="2">
        <v>0.74236111111111114</v>
      </c>
      <c r="F144">
        <v>6</v>
      </c>
      <c r="G144">
        <v>413.11</v>
      </c>
      <c r="H144">
        <v>3.18</v>
      </c>
      <c r="I144">
        <v>0.96</v>
      </c>
      <c r="J144">
        <v>0.87</v>
      </c>
      <c r="K144">
        <v>0.51</v>
      </c>
      <c r="L144">
        <v>6.36</v>
      </c>
      <c r="M144">
        <v>11.88</v>
      </c>
      <c r="N144">
        <v>2.11</v>
      </c>
      <c r="O144" t="s">
        <v>101</v>
      </c>
      <c r="P144" t="s">
        <v>21</v>
      </c>
      <c r="Q144">
        <v>4.7</v>
      </c>
    </row>
    <row r="145" spans="1:17" x14ac:dyDescent="0.35">
      <c r="A145" t="s">
        <v>241</v>
      </c>
      <c r="B145" s="1">
        <v>46227</v>
      </c>
      <c r="C145" t="s">
        <v>18</v>
      </c>
      <c r="D145" t="s">
        <v>19</v>
      </c>
      <c r="E145" s="2">
        <v>0.96944444444444444</v>
      </c>
      <c r="F145">
        <v>2</v>
      </c>
      <c r="G145">
        <v>328.4</v>
      </c>
      <c r="H145">
        <v>1.88</v>
      </c>
      <c r="I145">
        <v>0.56000000000000005</v>
      </c>
      <c r="J145">
        <v>1.1000000000000001</v>
      </c>
      <c r="K145">
        <v>0.6</v>
      </c>
      <c r="L145">
        <v>3</v>
      </c>
      <c r="M145">
        <v>7.14</v>
      </c>
      <c r="N145">
        <v>0.6</v>
      </c>
      <c r="O145" t="s">
        <v>171</v>
      </c>
      <c r="P145" t="s">
        <v>21</v>
      </c>
      <c r="Q145">
        <v>5</v>
      </c>
    </row>
    <row r="146" spans="1:17" x14ac:dyDescent="0.35">
      <c r="A146" t="s">
        <v>242</v>
      </c>
      <c r="B146" s="1">
        <v>46217</v>
      </c>
      <c r="C146" t="s">
        <v>23</v>
      </c>
      <c r="D146" t="s">
        <v>35</v>
      </c>
      <c r="E146" s="2">
        <v>0.35902777777777778</v>
      </c>
      <c r="F146">
        <v>5</v>
      </c>
      <c r="G146">
        <v>522.08000000000004</v>
      </c>
      <c r="H146">
        <v>3.34</v>
      </c>
      <c r="I146">
        <v>0.89</v>
      </c>
      <c r="J146">
        <v>0.72</v>
      </c>
      <c r="K146">
        <v>0.37</v>
      </c>
      <c r="L146">
        <v>6.64</v>
      </c>
      <c r="M146">
        <v>11.96</v>
      </c>
      <c r="N146">
        <v>2.13</v>
      </c>
      <c r="O146" t="s">
        <v>137</v>
      </c>
      <c r="P146" t="s">
        <v>21</v>
      </c>
      <c r="Q146">
        <v>4.8</v>
      </c>
    </row>
    <row r="147" spans="1:17" x14ac:dyDescent="0.35">
      <c r="A147" t="s">
        <v>243</v>
      </c>
      <c r="B147" s="1">
        <v>46216</v>
      </c>
      <c r="C147" t="s">
        <v>18</v>
      </c>
      <c r="D147" t="s">
        <v>31</v>
      </c>
      <c r="E147" s="2">
        <v>6.805555555555555E-2</v>
      </c>
      <c r="F147">
        <v>4</v>
      </c>
      <c r="G147">
        <v>792.44</v>
      </c>
      <c r="H147">
        <v>2.38</v>
      </c>
      <c r="I147">
        <v>0.85</v>
      </c>
      <c r="J147">
        <v>0.96</v>
      </c>
      <c r="K147">
        <v>0.67</v>
      </c>
      <c r="L147">
        <v>4.76</v>
      </c>
      <c r="M147">
        <v>9.6199999999999992</v>
      </c>
      <c r="N147">
        <v>1.45</v>
      </c>
      <c r="O147" t="s">
        <v>87</v>
      </c>
      <c r="P147" t="s">
        <v>21</v>
      </c>
      <c r="Q147">
        <v>4.5999999999999996</v>
      </c>
    </row>
    <row r="148" spans="1:17" x14ac:dyDescent="0.35">
      <c r="A148" t="s">
        <v>244</v>
      </c>
      <c r="B148" s="1">
        <v>46231</v>
      </c>
      <c r="C148" t="s">
        <v>23</v>
      </c>
      <c r="D148" t="s">
        <v>35</v>
      </c>
      <c r="E148" s="2">
        <v>0.73611111111111116</v>
      </c>
      <c r="F148">
        <v>2</v>
      </c>
      <c r="G148">
        <v>558.15</v>
      </c>
      <c r="H148">
        <v>2.58</v>
      </c>
      <c r="I148">
        <v>0.66</v>
      </c>
      <c r="J148">
        <v>1.58</v>
      </c>
      <c r="K148">
        <v>0.94</v>
      </c>
      <c r="L148">
        <v>7.62</v>
      </c>
      <c r="M148">
        <v>13.38</v>
      </c>
      <c r="N148">
        <v>3.02</v>
      </c>
      <c r="O148" t="s">
        <v>38</v>
      </c>
      <c r="P148" t="s">
        <v>21</v>
      </c>
      <c r="Q148">
        <v>4.3</v>
      </c>
    </row>
    <row r="149" spans="1:17" x14ac:dyDescent="0.35">
      <c r="A149" t="s">
        <v>245</v>
      </c>
      <c r="B149" s="1">
        <v>46238</v>
      </c>
      <c r="C149" t="s">
        <v>23</v>
      </c>
      <c r="D149" t="s">
        <v>35</v>
      </c>
      <c r="E149" s="2">
        <v>0.19375000000000001</v>
      </c>
      <c r="F149">
        <v>8</v>
      </c>
      <c r="G149">
        <v>454.58</v>
      </c>
      <c r="H149">
        <v>3.71</v>
      </c>
      <c r="I149">
        <v>1.36</v>
      </c>
      <c r="J149">
        <v>1.76</v>
      </c>
      <c r="K149">
        <v>0.87</v>
      </c>
      <c r="L149">
        <v>6.01</v>
      </c>
      <c r="M149">
        <v>13.71</v>
      </c>
      <c r="N149">
        <v>1.71</v>
      </c>
      <c r="O149" t="s">
        <v>148</v>
      </c>
      <c r="P149" t="s">
        <v>21</v>
      </c>
      <c r="Q149">
        <v>4</v>
      </c>
    </row>
    <row r="150" spans="1:17" x14ac:dyDescent="0.35">
      <c r="A150" t="s">
        <v>246</v>
      </c>
      <c r="B150" s="1">
        <v>46238</v>
      </c>
      <c r="C150" t="s">
        <v>23</v>
      </c>
      <c r="D150" t="s">
        <v>50</v>
      </c>
      <c r="E150" s="2">
        <v>0.95277777777777772</v>
      </c>
      <c r="F150">
        <v>3</v>
      </c>
      <c r="G150">
        <v>447.47</v>
      </c>
      <c r="H150">
        <v>2.23</v>
      </c>
      <c r="I150">
        <v>0.83</v>
      </c>
      <c r="J150">
        <v>1.91</v>
      </c>
      <c r="K150">
        <v>1.17</v>
      </c>
      <c r="L150">
        <v>5.92</v>
      </c>
      <c r="M150">
        <v>12.06</v>
      </c>
      <c r="N150">
        <v>2.34</v>
      </c>
      <c r="O150" t="s">
        <v>83</v>
      </c>
      <c r="P150" t="s">
        <v>21</v>
      </c>
      <c r="Q150">
        <v>5</v>
      </c>
    </row>
    <row r="151" spans="1:17" hidden="1" x14ac:dyDescent="0.35">
      <c r="A151" t="s">
        <v>247</v>
      </c>
      <c r="B151" s="1">
        <v>46239</v>
      </c>
      <c r="C151" t="s">
        <v>23</v>
      </c>
      <c r="D151" t="s">
        <v>24</v>
      </c>
      <c r="E151" s="2">
        <v>0.34444444444444444</v>
      </c>
      <c r="F151">
        <v>4</v>
      </c>
      <c r="G151">
        <v>218.63</v>
      </c>
      <c r="H151">
        <v>3.3</v>
      </c>
      <c r="I151">
        <v>0.91</v>
      </c>
      <c r="J151">
        <v>1.08</v>
      </c>
      <c r="K151">
        <v>0.65</v>
      </c>
      <c r="L151">
        <v>4.84</v>
      </c>
      <c r="M151">
        <v>10.78</v>
      </c>
      <c r="N151">
        <v>1.63</v>
      </c>
      <c r="O151" t="s">
        <v>194</v>
      </c>
      <c r="P151" t="s">
        <v>125</v>
      </c>
    </row>
    <row r="152" spans="1:17" x14ac:dyDescent="0.35">
      <c r="A152" t="s">
        <v>248</v>
      </c>
      <c r="B152" s="1">
        <v>46220</v>
      </c>
      <c r="C152" t="s">
        <v>23</v>
      </c>
      <c r="D152" t="s">
        <v>24</v>
      </c>
      <c r="E152" s="2">
        <v>0.20902777777777778</v>
      </c>
      <c r="F152">
        <v>5</v>
      </c>
      <c r="G152">
        <v>658.96</v>
      </c>
      <c r="H152">
        <v>2.48</v>
      </c>
      <c r="I152">
        <v>1.02</v>
      </c>
      <c r="J152">
        <v>0.3</v>
      </c>
      <c r="K152">
        <v>0.5</v>
      </c>
      <c r="L152">
        <v>8.3699999999999992</v>
      </c>
      <c r="M152">
        <v>12.67</v>
      </c>
      <c r="N152">
        <v>3.76</v>
      </c>
      <c r="O152" t="s">
        <v>140</v>
      </c>
      <c r="P152" t="s">
        <v>21</v>
      </c>
      <c r="Q152">
        <v>5</v>
      </c>
    </row>
    <row r="153" spans="1:17" x14ac:dyDescent="0.35">
      <c r="A153" t="s">
        <v>249</v>
      </c>
      <c r="B153" s="1">
        <v>46218</v>
      </c>
      <c r="C153" t="s">
        <v>18</v>
      </c>
      <c r="D153" t="s">
        <v>31</v>
      </c>
      <c r="E153" s="2">
        <v>0.125</v>
      </c>
      <c r="F153">
        <v>4</v>
      </c>
      <c r="G153">
        <v>485.99</v>
      </c>
      <c r="H153">
        <v>3</v>
      </c>
      <c r="I153">
        <v>0.73</v>
      </c>
      <c r="J153">
        <v>0.98</v>
      </c>
      <c r="K153">
        <v>0.54</v>
      </c>
      <c r="L153">
        <v>5.23</v>
      </c>
      <c r="M153">
        <v>10.48</v>
      </c>
      <c r="N153">
        <v>1.91</v>
      </c>
      <c r="O153" t="s">
        <v>177</v>
      </c>
      <c r="P153" t="s">
        <v>21</v>
      </c>
      <c r="Q153">
        <v>5</v>
      </c>
    </row>
    <row r="154" spans="1:17" x14ac:dyDescent="0.35">
      <c r="A154" t="s">
        <v>250</v>
      </c>
      <c r="B154" s="1">
        <v>46227</v>
      </c>
      <c r="C154" t="s">
        <v>18</v>
      </c>
      <c r="D154" t="s">
        <v>19</v>
      </c>
      <c r="E154" s="2">
        <v>0.42083333333333334</v>
      </c>
      <c r="F154">
        <v>8</v>
      </c>
      <c r="G154">
        <v>467.51</v>
      </c>
      <c r="H154">
        <v>3.91</v>
      </c>
      <c r="I154">
        <v>1.31</v>
      </c>
      <c r="J154">
        <v>1.18</v>
      </c>
      <c r="K154">
        <v>1.1399999999999999</v>
      </c>
      <c r="L154">
        <v>9.6199999999999992</v>
      </c>
      <c r="M154">
        <v>17.16</v>
      </c>
      <c r="N154">
        <v>3.85</v>
      </c>
      <c r="O154" t="s">
        <v>181</v>
      </c>
      <c r="P154" t="s">
        <v>21</v>
      </c>
      <c r="Q154">
        <v>4</v>
      </c>
    </row>
    <row r="155" spans="1:17" x14ac:dyDescent="0.35">
      <c r="A155" t="s">
        <v>251</v>
      </c>
      <c r="B155" s="1">
        <v>46223</v>
      </c>
      <c r="C155" t="s">
        <v>18</v>
      </c>
      <c r="D155" t="s">
        <v>19</v>
      </c>
      <c r="E155" s="2">
        <v>0.77916666666666667</v>
      </c>
      <c r="F155">
        <v>2</v>
      </c>
      <c r="G155">
        <v>1074.76</v>
      </c>
      <c r="H155">
        <v>2.0099999999999998</v>
      </c>
      <c r="I155">
        <v>0.7</v>
      </c>
      <c r="J155">
        <v>1.07</v>
      </c>
      <c r="K155">
        <v>0.47</v>
      </c>
      <c r="L155">
        <v>6.77</v>
      </c>
      <c r="M155">
        <v>11.02</v>
      </c>
      <c r="N155">
        <v>2.93</v>
      </c>
      <c r="O155" t="s">
        <v>226</v>
      </c>
      <c r="P155" t="s">
        <v>21</v>
      </c>
      <c r="Q155">
        <v>3.7</v>
      </c>
    </row>
    <row r="156" spans="1:17" x14ac:dyDescent="0.35">
      <c r="A156" t="s">
        <v>252</v>
      </c>
      <c r="B156" s="1">
        <v>46237</v>
      </c>
      <c r="C156" t="s">
        <v>46</v>
      </c>
      <c r="D156" t="s">
        <v>58</v>
      </c>
      <c r="E156" s="2">
        <v>0.48541666666666666</v>
      </c>
      <c r="F156">
        <v>5</v>
      </c>
      <c r="G156">
        <v>553.78</v>
      </c>
      <c r="H156">
        <v>3.39</v>
      </c>
      <c r="I156">
        <v>1.03</v>
      </c>
      <c r="J156">
        <v>1.29</v>
      </c>
      <c r="K156">
        <v>1.17</v>
      </c>
      <c r="L156">
        <v>6.47</v>
      </c>
      <c r="M156">
        <v>13.35</v>
      </c>
      <c r="N156">
        <v>2.63</v>
      </c>
      <c r="O156" t="s">
        <v>188</v>
      </c>
      <c r="P156" t="s">
        <v>21</v>
      </c>
      <c r="Q156">
        <v>4.4000000000000004</v>
      </c>
    </row>
    <row r="157" spans="1:17" x14ac:dyDescent="0.35">
      <c r="A157" t="s">
        <v>253</v>
      </c>
      <c r="B157" s="1">
        <v>46242</v>
      </c>
      <c r="C157" t="s">
        <v>18</v>
      </c>
      <c r="D157" t="s">
        <v>42</v>
      </c>
      <c r="E157" s="2">
        <v>0.68888888888888888</v>
      </c>
      <c r="F157">
        <v>8</v>
      </c>
      <c r="G157">
        <v>364.68</v>
      </c>
      <c r="H157">
        <v>3.47</v>
      </c>
      <c r="I157">
        <v>1.06</v>
      </c>
      <c r="J157">
        <v>1.1299999999999999</v>
      </c>
      <c r="K157">
        <v>1.0900000000000001</v>
      </c>
      <c r="L157">
        <v>6.73</v>
      </c>
      <c r="M157">
        <v>13.48</v>
      </c>
      <c r="N157">
        <v>2.5299999999999998</v>
      </c>
      <c r="O157" t="s">
        <v>205</v>
      </c>
      <c r="P157" t="s">
        <v>21</v>
      </c>
      <c r="Q157">
        <v>4.5999999999999996</v>
      </c>
    </row>
    <row r="158" spans="1:17" x14ac:dyDescent="0.35">
      <c r="A158" t="s">
        <v>254</v>
      </c>
      <c r="B158" s="1">
        <v>46218</v>
      </c>
      <c r="C158" t="s">
        <v>18</v>
      </c>
      <c r="D158" t="s">
        <v>19</v>
      </c>
      <c r="E158" s="2">
        <v>0.79097222222222219</v>
      </c>
      <c r="F158">
        <v>5</v>
      </c>
      <c r="G158">
        <v>423.26</v>
      </c>
      <c r="H158">
        <v>3</v>
      </c>
      <c r="I158">
        <v>0.76</v>
      </c>
      <c r="J158">
        <v>0.75</v>
      </c>
      <c r="K158">
        <v>0.6</v>
      </c>
      <c r="L158">
        <v>5.99</v>
      </c>
      <c r="M158">
        <v>11.1</v>
      </c>
      <c r="N158">
        <v>2.5499999999999998</v>
      </c>
      <c r="O158" t="s">
        <v>38</v>
      </c>
      <c r="P158" t="s">
        <v>21</v>
      </c>
      <c r="Q158">
        <v>4.4000000000000004</v>
      </c>
    </row>
    <row r="159" spans="1:17" x14ac:dyDescent="0.35">
      <c r="A159" t="s">
        <v>255</v>
      </c>
      <c r="B159" s="1">
        <v>46216</v>
      </c>
      <c r="C159" t="s">
        <v>23</v>
      </c>
      <c r="D159" t="s">
        <v>50</v>
      </c>
      <c r="E159" s="2">
        <v>0.13194444444444445</v>
      </c>
      <c r="F159">
        <v>7</v>
      </c>
      <c r="G159">
        <v>706.72</v>
      </c>
      <c r="H159">
        <v>3.43</v>
      </c>
      <c r="I159">
        <v>1.21</v>
      </c>
      <c r="J159">
        <v>0.52</v>
      </c>
      <c r="K159">
        <v>0.87</v>
      </c>
      <c r="L159">
        <v>3.21</v>
      </c>
      <c r="M159">
        <v>9.24</v>
      </c>
      <c r="N159">
        <v>0.47</v>
      </c>
      <c r="O159" t="s">
        <v>48</v>
      </c>
      <c r="P159" t="s">
        <v>21</v>
      </c>
      <c r="Q159">
        <v>4.9000000000000004</v>
      </c>
    </row>
    <row r="160" spans="1:17" x14ac:dyDescent="0.35">
      <c r="A160" t="s">
        <v>256</v>
      </c>
      <c r="B160" s="1">
        <v>46218</v>
      </c>
      <c r="C160" t="s">
        <v>23</v>
      </c>
      <c r="D160" t="s">
        <v>24</v>
      </c>
      <c r="E160" s="2">
        <v>0.17499999999999999</v>
      </c>
      <c r="F160">
        <v>4</v>
      </c>
      <c r="G160">
        <v>520.39</v>
      </c>
      <c r="H160">
        <v>2.63</v>
      </c>
      <c r="I160">
        <v>0.92</v>
      </c>
      <c r="J160">
        <v>0.99</v>
      </c>
      <c r="K160">
        <v>0.62</v>
      </c>
      <c r="L160">
        <v>5.9</v>
      </c>
      <c r="M160">
        <v>11.06</v>
      </c>
      <c r="N160">
        <v>1.95</v>
      </c>
      <c r="O160" t="s">
        <v>137</v>
      </c>
      <c r="P160" t="s">
        <v>21</v>
      </c>
      <c r="Q160">
        <v>5</v>
      </c>
    </row>
    <row r="161" spans="1:17" x14ac:dyDescent="0.35">
      <c r="A161" t="s">
        <v>257</v>
      </c>
      <c r="B161" s="1">
        <v>46220</v>
      </c>
      <c r="C161" t="s">
        <v>18</v>
      </c>
      <c r="D161" t="s">
        <v>19</v>
      </c>
      <c r="E161" s="2">
        <v>0.68055555555555558</v>
      </c>
      <c r="F161">
        <v>9</v>
      </c>
      <c r="G161">
        <v>241.11</v>
      </c>
      <c r="H161">
        <v>4.0599999999999996</v>
      </c>
      <c r="I161">
        <v>1.1599999999999999</v>
      </c>
      <c r="J161">
        <v>0.9</v>
      </c>
      <c r="K161">
        <v>0.62</v>
      </c>
      <c r="L161">
        <v>7.1</v>
      </c>
      <c r="M161">
        <v>13.84</v>
      </c>
      <c r="N161">
        <v>2.96</v>
      </c>
      <c r="O161" t="s">
        <v>258</v>
      </c>
      <c r="P161" t="s">
        <v>21</v>
      </c>
      <c r="Q161">
        <v>4.8</v>
      </c>
    </row>
    <row r="162" spans="1:17" x14ac:dyDescent="0.35">
      <c r="A162" t="s">
        <v>259</v>
      </c>
      <c r="B162" s="1">
        <v>46230</v>
      </c>
      <c r="C162" t="s">
        <v>23</v>
      </c>
      <c r="D162" t="s">
        <v>50</v>
      </c>
      <c r="E162" s="2">
        <v>0.64375000000000004</v>
      </c>
      <c r="F162">
        <v>7</v>
      </c>
      <c r="G162">
        <v>665.46</v>
      </c>
      <c r="H162">
        <v>3.62</v>
      </c>
      <c r="I162">
        <v>1.01</v>
      </c>
      <c r="J162">
        <v>1.1599999999999999</v>
      </c>
      <c r="K162">
        <v>0.78</v>
      </c>
      <c r="L162">
        <v>6</v>
      </c>
      <c r="M162">
        <v>12.57</v>
      </c>
      <c r="N162">
        <v>2.16</v>
      </c>
      <c r="O162" t="s">
        <v>260</v>
      </c>
      <c r="P162" t="s">
        <v>21</v>
      </c>
      <c r="Q162">
        <v>4.3</v>
      </c>
    </row>
    <row r="163" spans="1:17" x14ac:dyDescent="0.35">
      <c r="A163" t="s">
        <v>261</v>
      </c>
      <c r="B163" s="1">
        <v>46229</v>
      </c>
      <c r="C163" t="s">
        <v>18</v>
      </c>
      <c r="D163" t="s">
        <v>42</v>
      </c>
      <c r="E163" s="2">
        <v>0.82222222222222219</v>
      </c>
      <c r="F163">
        <v>2</v>
      </c>
      <c r="G163">
        <v>379.73</v>
      </c>
      <c r="H163">
        <v>1.63</v>
      </c>
      <c r="I163">
        <v>0.85</v>
      </c>
      <c r="J163">
        <v>1.59</v>
      </c>
      <c r="K163">
        <v>1.1399999999999999</v>
      </c>
      <c r="L163">
        <v>4.5999999999999996</v>
      </c>
      <c r="M163">
        <v>9.81</v>
      </c>
      <c r="N163">
        <v>1.19</v>
      </c>
      <c r="O163" t="s">
        <v>167</v>
      </c>
      <c r="P163" t="s">
        <v>21</v>
      </c>
      <c r="Q163">
        <v>4.3</v>
      </c>
    </row>
    <row r="164" spans="1:17" x14ac:dyDescent="0.35">
      <c r="A164" t="s">
        <v>262</v>
      </c>
      <c r="B164" s="1">
        <v>46218</v>
      </c>
      <c r="C164" t="s">
        <v>23</v>
      </c>
      <c r="D164" t="s">
        <v>35</v>
      </c>
      <c r="E164" s="2">
        <v>0.8881944444444444</v>
      </c>
      <c r="F164">
        <v>5</v>
      </c>
      <c r="G164">
        <v>837.19</v>
      </c>
      <c r="H164">
        <v>3.36</v>
      </c>
      <c r="I164">
        <v>0.81</v>
      </c>
      <c r="J164">
        <v>1.25</v>
      </c>
      <c r="K164">
        <v>1</v>
      </c>
      <c r="L164">
        <v>5.94</v>
      </c>
      <c r="M164">
        <v>12.36</v>
      </c>
      <c r="N164">
        <v>2.4</v>
      </c>
      <c r="O164" t="s">
        <v>40</v>
      </c>
      <c r="P164" t="s">
        <v>21</v>
      </c>
      <c r="Q164">
        <v>4.5999999999999996</v>
      </c>
    </row>
    <row r="165" spans="1:17" x14ac:dyDescent="0.35">
      <c r="A165" t="s">
        <v>263</v>
      </c>
      <c r="B165" s="1">
        <v>46216</v>
      </c>
      <c r="C165" t="s">
        <v>46</v>
      </c>
      <c r="D165" t="s">
        <v>47</v>
      </c>
      <c r="E165" s="2">
        <v>0.93472222222222223</v>
      </c>
      <c r="F165">
        <v>4</v>
      </c>
      <c r="G165">
        <v>694.41</v>
      </c>
      <c r="H165">
        <v>2.1</v>
      </c>
      <c r="I165">
        <v>1.07</v>
      </c>
      <c r="J165">
        <v>2.0299999999999998</v>
      </c>
      <c r="K165">
        <v>0.69</v>
      </c>
      <c r="L165">
        <v>9.4</v>
      </c>
      <c r="M165">
        <v>15.29</v>
      </c>
      <c r="N165">
        <v>3.98</v>
      </c>
      <c r="O165" t="s">
        <v>264</v>
      </c>
      <c r="P165" t="s">
        <v>21</v>
      </c>
      <c r="Q165">
        <v>4.3</v>
      </c>
    </row>
    <row r="166" spans="1:17" x14ac:dyDescent="0.35">
      <c r="A166" t="s">
        <v>265</v>
      </c>
      <c r="B166" s="1">
        <v>46220</v>
      </c>
      <c r="C166" t="s">
        <v>46</v>
      </c>
      <c r="D166" t="s">
        <v>47</v>
      </c>
      <c r="E166" s="2">
        <v>8.819444444444445E-2</v>
      </c>
      <c r="F166">
        <v>4</v>
      </c>
      <c r="G166">
        <v>419.48</v>
      </c>
      <c r="H166">
        <v>3.04</v>
      </c>
      <c r="I166">
        <v>0.76</v>
      </c>
      <c r="J166">
        <v>0.57999999999999996</v>
      </c>
      <c r="K166">
        <v>0.31</v>
      </c>
      <c r="L166">
        <v>8.81</v>
      </c>
      <c r="M166">
        <v>13.5</v>
      </c>
      <c r="N166">
        <v>3.32</v>
      </c>
      <c r="O166" t="s">
        <v>156</v>
      </c>
      <c r="P166" t="s">
        <v>21</v>
      </c>
      <c r="Q166">
        <v>4.8</v>
      </c>
    </row>
    <row r="167" spans="1:17" x14ac:dyDescent="0.35">
      <c r="A167" t="s">
        <v>266</v>
      </c>
      <c r="B167" s="1">
        <v>46241</v>
      </c>
      <c r="C167" t="s">
        <v>18</v>
      </c>
      <c r="D167" t="s">
        <v>31</v>
      </c>
      <c r="E167" s="2">
        <v>1.1805555555555555E-2</v>
      </c>
      <c r="F167">
        <v>6</v>
      </c>
      <c r="G167">
        <v>730.58</v>
      </c>
      <c r="H167">
        <v>3.51</v>
      </c>
      <c r="I167">
        <v>1.1100000000000001</v>
      </c>
      <c r="J167">
        <v>1.1599999999999999</v>
      </c>
      <c r="K167">
        <v>0.87</v>
      </c>
      <c r="L167">
        <v>6.03</v>
      </c>
      <c r="M167">
        <v>12.68</v>
      </c>
      <c r="N167">
        <v>2.14</v>
      </c>
      <c r="O167" t="s">
        <v>83</v>
      </c>
      <c r="P167" t="s">
        <v>21</v>
      </c>
      <c r="Q167">
        <v>4.4000000000000004</v>
      </c>
    </row>
    <row r="168" spans="1:17" x14ac:dyDescent="0.35">
      <c r="A168" t="s">
        <v>267</v>
      </c>
      <c r="B168" s="1">
        <v>46238</v>
      </c>
      <c r="C168" t="s">
        <v>23</v>
      </c>
      <c r="D168" t="s">
        <v>50</v>
      </c>
      <c r="E168" s="2">
        <v>0.3923611111111111</v>
      </c>
      <c r="F168">
        <v>5</v>
      </c>
      <c r="G168">
        <v>512.21</v>
      </c>
      <c r="H168">
        <v>2.52</v>
      </c>
      <c r="I168">
        <v>0.91</v>
      </c>
      <c r="J168">
        <v>1.35</v>
      </c>
      <c r="K168">
        <v>0.77</v>
      </c>
      <c r="L168">
        <v>7.57</v>
      </c>
      <c r="M168">
        <v>13.12</v>
      </c>
      <c r="N168">
        <v>3.06</v>
      </c>
      <c r="O168" t="s">
        <v>132</v>
      </c>
      <c r="P168" t="s">
        <v>21</v>
      </c>
      <c r="Q168">
        <v>4.9000000000000004</v>
      </c>
    </row>
    <row r="169" spans="1:17" x14ac:dyDescent="0.35">
      <c r="A169" t="s">
        <v>268</v>
      </c>
      <c r="B169" s="1">
        <v>46229</v>
      </c>
      <c r="C169" t="s">
        <v>23</v>
      </c>
      <c r="D169" t="s">
        <v>50</v>
      </c>
      <c r="E169" s="2">
        <v>0.39513888888888887</v>
      </c>
      <c r="F169">
        <v>6</v>
      </c>
      <c r="G169">
        <v>653.5</v>
      </c>
      <c r="H169">
        <v>2.98</v>
      </c>
      <c r="I169">
        <v>1.1000000000000001</v>
      </c>
      <c r="J169">
        <v>0.73</v>
      </c>
      <c r="K169">
        <v>0.66</v>
      </c>
      <c r="L169">
        <v>5.98</v>
      </c>
      <c r="M169">
        <v>11.45</v>
      </c>
      <c r="N169">
        <v>1.87</v>
      </c>
      <c r="O169" t="s">
        <v>171</v>
      </c>
      <c r="P169" t="s">
        <v>21</v>
      </c>
      <c r="Q169">
        <v>5</v>
      </c>
    </row>
    <row r="170" spans="1:17" x14ac:dyDescent="0.35">
      <c r="A170" t="s">
        <v>269</v>
      </c>
      <c r="B170" s="1">
        <v>46222</v>
      </c>
      <c r="C170" t="s">
        <v>46</v>
      </c>
      <c r="D170" t="s">
        <v>58</v>
      </c>
      <c r="E170" s="2">
        <v>0.93472222222222223</v>
      </c>
      <c r="F170">
        <v>2</v>
      </c>
      <c r="G170">
        <v>587.25</v>
      </c>
      <c r="H170">
        <v>1.85</v>
      </c>
      <c r="I170">
        <v>0.64</v>
      </c>
      <c r="J170">
        <v>2.02</v>
      </c>
      <c r="K170">
        <v>1.02</v>
      </c>
      <c r="L170">
        <v>3.78</v>
      </c>
      <c r="M170">
        <v>9.31</v>
      </c>
      <c r="N170">
        <v>0.92</v>
      </c>
      <c r="O170" t="s">
        <v>65</v>
      </c>
      <c r="P170" t="s">
        <v>21</v>
      </c>
      <c r="Q170">
        <v>5</v>
      </c>
    </row>
    <row r="171" spans="1:17" x14ac:dyDescent="0.35">
      <c r="A171" t="s">
        <v>270</v>
      </c>
      <c r="B171" s="1">
        <v>46242</v>
      </c>
      <c r="C171" t="s">
        <v>46</v>
      </c>
      <c r="D171" t="s">
        <v>47</v>
      </c>
      <c r="E171" s="2">
        <v>0.47569444444444442</v>
      </c>
      <c r="F171">
        <v>5</v>
      </c>
      <c r="G171">
        <v>347.66</v>
      </c>
      <c r="H171">
        <v>2.82</v>
      </c>
      <c r="I171">
        <v>0.93</v>
      </c>
      <c r="J171">
        <v>1.33</v>
      </c>
      <c r="K171">
        <v>0.83</v>
      </c>
      <c r="L171">
        <v>5.76</v>
      </c>
      <c r="M171">
        <v>11.67</v>
      </c>
      <c r="N171">
        <v>1.37</v>
      </c>
      <c r="O171" t="s">
        <v>99</v>
      </c>
      <c r="P171" t="s">
        <v>21</v>
      </c>
      <c r="Q171">
        <v>4.8</v>
      </c>
    </row>
    <row r="172" spans="1:17" x14ac:dyDescent="0.35">
      <c r="A172" t="s">
        <v>271</v>
      </c>
      <c r="B172" s="1">
        <v>46224</v>
      </c>
      <c r="C172" t="s">
        <v>23</v>
      </c>
      <c r="D172" t="s">
        <v>50</v>
      </c>
      <c r="E172" s="2">
        <v>0.43402777777777779</v>
      </c>
      <c r="F172">
        <v>4</v>
      </c>
      <c r="G172">
        <v>384.16</v>
      </c>
      <c r="H172">
        <v>2.57</v>
      </c>
      <c r="I172">
        <v>0.87</v>
      </c>
      <c r="J172">
        <v>1.1100000000000001</v>
      </c>
      <c r="K172">
        <v>0.66</v>
      </c>
      <c r="L172">
        <v>8.41</v>
      </c>
      <c r="M172">
        <v>13.62</v>
      </c>
      <c r="N172">
        <v>3.61</v>
      </c>
      <c r="O172" t="s">
        <v>65</v>
      </c>
      <c r="P172" t="s">
        <v>21</v>
      </c>
      <c r="Q172">
        <v>4.5</v>
      </c>
    </row>
    <row r="173" spans="1:17" x14ac:dyDescent="0.35">
      <c r="A173" t="s">
        <v>272</v>
      </c>
      <c r="B173" s="1">
        <v>46230</v>
      </c>
      <c r="C173" t="s">
        <v>18</v>
      </c>
      <c r="D173" t="s">
        <v>31</v>
      </c>
      <c r="E173" s="2">
        <v>0.91041666666666665</v>
      </c>
      <c r="F173">
        <v>4</v>
      </c>
      <c r="G173">
        <v>685.39</v>
      </c>
      <c r="H173">
        <v>2.95</v>
      </c>
      <c r="I173">
        <v>0.75</v>
      </c>
      <c r="J173">
        <v>1.76</v>
      </c>
      <c r="K173">
        <v>1.05</v>
      </c>
      <c r="L173">
        <v>7.36</v>
      </c>
      <c r="M173">
        <v>13.87</v>
      </c>
      <c r="N173">
        <v>2.2000000000000002</v>
      </c>
      <c r="O173" t="s">
        <v>226</v>
      </c>
      <c r="P173" t="s">
        <v>21</v>
      </c>
      <c r="Q173">
        <v>4.4000000000000004</v>
      </c>
    </row>
    <row r="174" spans="1:17" x14ac:dyDescent="0.35">
      <c r="A174" t="s">
        <v>273</v>
      </c>
      <c r="B174" s="1">
        <v>46230</v>
      </c>
      <c r="C174" t="s">
        <v>23</v>
      </c>
      <c r="D174" t="s">
        <v>35</v>
      </c>
      <c r="E174" s="2">
        <v>0.59236111111111112</v>
      </c>
      <c r="F174">
        <v>6</v>
      </c>
      <c r="G174">
        <v>439.74</v>
      </c>
      <c r="H174">
        <v>3.58</v>
      </c>
      <c r="I174">
        <v>1.1200000000000001</v>
      </c>
      <c r="J174">
        <v>1.76</v>
      </c>
      <c r="K174">
        <v>0.94</v>
      </c>
      <c r="L174">
        <v>5.37</v>
      </c>
      <c r="M174">
        <v>12.77</v>
      </c>
      <c r="N174">
        <v>1.98</v>
      </c>
      <c r="O174" t="s">
        <v>274</v>
      </c>
      <c r="P174" t="s">
        <v>21</v>
      </c>
      <c r="Q174">
        <v>5</v>
      </c>
    </row>
    <row r="175" spans="1:17" x14ac:dyDescent="0.35">
      <c r="A175" t="s">
        <v>275</v>
      </c>
      <c r="B175" s="1">
        <v>46241</v>
      </c>
      <c r="C175" t="s">
        <v>23</v>
      </c>
      <c r="D175" t="s">
        <v>50</v>
      </c>
      <c r="E175" s="2">
        <v>0.66736111111111107</v>
      </c>
      <c r="F175">
        <v>3</v>
      </c>
      <c r="G175">
        <v>427.34</v>
      </c>
      <c r="H175">
        <v>2.95</v>
      </c>
      <c r="I175">
        <v>0.73</v>
      </c>
      <c r="J175">
        <v>1.2</v>
      </c>
      <c r="K175">
        <v>0.51</v>
      </c>
      <c r="L175">
        <v>6.69</v>
      </c>
      <c r="M175">
        <v>12.08</v>
      </c>
      <c r="N175">
        <v>1.93</v>
      </c>
      <c r="O175" t="s">
        <v>174</v>
      </c>
      <c r="P175" t="s">
        <v>21</v>
      </c>
      <c r="Q175">
        <v>4.5</v>
      </c>
    </row>
    <row r="176" spans="1:17" x14ac:dyDescent="0.35">
      <c r="A176" t="s">
        <v>276</v>
      </c>
      <c r="B176" s="1">
        <v>46225</v>
      </c>
      <c r="C176" t="s">
        <v>23</v>
      </c>
      <c r="D176" t="s">
        <v>50</v>
      </c>
      <c r="E176" s="2">
        <v>0.10694444444444444</v>
      </c>
      <c r="F176">
        <v>4</v>
      </c>
      <c r="G176">
        <v>328.08</v>
      </c>
      <c r="H176">
        <v>2.48</v>
      </c>
      <c r="I176">
        <v>0.84</v>
      </c>
      <c r="J176">
        <v>0.74</v>
      </c>
      <c r="K176">
        <v>0.56000000000000005</v>
      </c>
      <c r="L176">
        <v>9.19</v>
      </c>
      <c r="M176">
        <v>13.81</v>
      </c>
      <c r="N176">
        <v>3.91</v>
      </c>
      <c r="O176" t="s">
        <v>184</v>
      </c>
      <c r="P176" t="s">
        <v>21</v>
      </c>
      <c r="Q176">
        <v>4.5999999999999996</v>
      </c>
    </row>
    <row r="177" spans="1:17" x14ac:dyDescent="0.35">
      <c r="A177" t="s">
        <v>277</v>
      </c>
      <c r="B177" s="1">
        <v>46243</v>
      </c>
      <c r="C177" t="s">
        <v>23</v>
      </c>
      <c r="D177" t="s">
        <v>24</v>
      </c>
      <c r="E177" s="2">
        <v>0.33958333333333335</v>
      </c>
      <c r="F177">
        <v>7</v>
      </c>
      <c r="G177">
        <v>576.25</v>
      </c>
      <c r="H177">
        <v>3.27</v>
      </c>
      <c r="I177">
        <v>0.99</v>
      </c>
      <c r="J177">
        <v>1.1599999999999999</v>
      </c>
      <c r="K177">
        <v>0.95</v>
      </c>
      <c r="L177">
        <v>8.68</v>
      </c>
      <c r="M177">
        <v>15.05</v>
      </c>
      <c r="N177">
        <v>3.66</v>
      </c>
      <c r="O177" t="s">
        <v>83</v>
      </c>
      <c r="P177" t="s">
        <v>21</v>
      </c>
      <c r="Q177">
        <v>4.4000000000000004</v>
      </c>
    </row>
    <row r="178" spans="1:17" x14ac:dyDescent="0.35">
      <c r="A178" t="s">
        <v>278</v>
      </c>
      <c r="B178" s="1">
        <v>46228</v>
      </c>
      <c r="C178" t="s">
        <v>46</v>
      </c>
      <c r="D178" t="s">
        <v>58</v>
      </c>
      <c r="E178" s="2">
        <v>0.97847222222222219</v>
      </c>
      <c r="F178">
        <v>7</v>
      </c>
      <c r="G178">
        <v>871.25</v>
      </c>
      <c r="H178">
        <v>2.75</v>
      </c>
      <c r="I178">
        <v>0.8</v>
      </c>
      <c r="J178">
        <v>0.3</v>
      </c>
      <c r="K178">
        <v>0.89</v>
      </c>
      <c r="L178">
        <v>9.34</v>
      </c>
      <c r="M178">
        <v>14.08</v>
      </c>
      <c r="N178">
        <v>4.2</v>
      </c>
      <c r="O178" t="s">
        <v>114</v>
      </c>
      <c r="P178" t="s">
        <v>21</v>
      </c>
      <c r="Q178">
        <v>4.3</v>
      </c>
    </row>
    <row r="179" spans="1:17" x14ac:dyDescent="0.35">
      <c r="A179" t="s">
        <v>279</v>
      </c>
      <c r="B179" s="1">
        <v>46234</v>
      </c>
      <c r="C179" t="s">
        <v>18</v>
      </c>
      <c r="D179" t="s">
        <v>19</v>
      </c>
      <c r="E179" s="2">
        <v>0.5444444444444444</v>
      </c>
      <c r="F179">
        <v>6</v>
      </c>
      <c r="G179">
        <v>307.83999999999997</v>
      </c>
      <c r="H179">
        <v>2.84</v>
      </c>
      <c r="I179">
        <v>1.01</v>
      </c>
      <c r="J179">
        <v>1.1299999999999999</v>
      </c>
      <c r="K179">
        <v>0.7</v>
      </c>
      <c r="L179">
        <v>5.76</v>
      </c>
      <c r="M179">
        <v>11.44</v>
      </c>
      <c r="N179">
        <v>2.06</v>
      </c>
      <c r="O179" t="s">
        <v>69</v>
      </c>
      <c r="P179" t="s">
        <v>21</v>
      </c>
      <c r="Q179">
        <v>4.2</v>
      </c>
    </row>
    <row r="180" spans="1:17" x14ac:dyDescent="0.35">
      <c r="A180" t="s">
        <v>280</v>
      </c>
      <c r="B180" s="1">
        <v>46222</v>
      </c>
      <c r="C180" t="s">
        <v>23</v>
      </c>
      <c r="D180" t="s">
        <v>24</v>
      </c>
      <c r="E180" s="2">
        <v>0.78263888888888888</v>
      </c>
      <c r="F180">
        <v>6</v>
      </c>
      <c r="G180">
        <v>504.36</v>
      </c>
      <c r="H180">
        <v>3.46</v>
      </c>
      <c r="I180">
        <v>1.32</v>
      </c>
      <c r="J180">
        <v>0.39</v>
      </c>
      <c r="K180">
        <v>0.21</v>
      </c>
      <c r="L180">
        <v>7.19</v>
      </c>
      <c r="M180">
        <v>12.57</v>
      </c>
      <c r="N180">
        <v>2.4700000000000002</v>
      </c>
      <c r="O180" t="s">
        <v>198</v>
      </c>
      <c r="P180" t="s">
        <v>21</v>
      </c>
      <c r="Q180">
        <v>4.8</v>
      </c>
    </row>
    <row r="181" spans="1:17" x14ac:dyDescent="0.35">
      <c r="A181" t="s">
        <v>281</v>
      </c>
      <c r="B181" s="1">
        <v>46232</v>
      </c>
      <c r="C181" t="s">
        <v>18</v>
      </c>
      <c r="D181" t="s">
        <v>31</v>
      </c>
      <c r="E181" s="2">
        <v>0.98333333333333328</v>
      </c>
      <c r="F181">
        <v>6</v>
      </c>
      <c r="G181">
        <v>754.2</v>
      </c>
      <c r="H181">
        <v>3.69</v>
      </c>
      <c r="I181">
        <v>1.1200000000000001</v>
      </c>
      <c r="J181">
        <v>0.87</v>
      </c>
      <c r="K181">
        <v>0.9</v>
      </c>
      <c r="L181">
        <v>4.08</v>
      </c>
      <c r="M181">
        <v>10.66</v>
      </c>
      <c r="N181">
        <v>0.84</v>
      </c>
      <c r="O181" t="s">
        <v>212</v>
      </c>
      <c r="P181" t="s">
        <v>21</v>
      </c>
      <c r="Q181">
        <v>4.9000000000000004</v>
      </c>
    </row>
    <row r="182" spans="1:17" hidden="1" x14ac:dyDescent="0.35">
      <c r="A182" t="s">
        <v>282</v>
      </c>
      <c r="B182" s="1">
        <v>46235</v>
      </c>
      <c r="C182" t="s">
        <v>46</v>
      </c>
      <c r="D182" t="s">
        <v>58</v>
      </c>
      <c r="E182" s="2">
        <v>0.1701388888888889</v>
      </c>
      <c r="F182">
        <v>3</v>
      </c>
      <c r="G182">
        <v>485.66</v>
      </c>
      <c r="H182">
        <v>2.0299999999999998</v>
      </c>
      <c r="I182">
        <v>0.79</v>
      </c>
      <c r="J182">
        <v>0.46</v>
      </c>
      <c r="K182">
        <v>0.68</v>
      </c>
      <c r="L182">
        <v>7.09</v>
      </c>
      <c r="M182">
        <v>11.05</v>
      </c>
      <c r="N182">
        <v>3.53</v>
      </c>
      <c r="O182" t="s">
        <v>27</v>
      </c>
      <c r="P182" t="s">
        <v>125</v>
      </c>
    </row>
    <row r="183" spans="1:17" x14ac:dyDescent="0.35">
      <c r="A183" t="s">
        <v>283</v>
      </c>
      <c r="B183" s="1">
        <v>46219</v>
      </c>
      <c r="C183" t="s">
        <v>46</v>
      </c>
      <c r="D183" t="s">
        <v>47</v>
      </c>
      <c r="E183" s="2">
        <v>0.83263888888888893</v>
      </c>
      <c r="F183">
        <v>6</v>
      </c>
      <c r="G183">
        <v>581.42999999999995</v>
      </c>
      <c r="H183">
        <v>2.91</v>
      </c>
      <c r="I183">
        <v>1</v>
      </c>
      <c r="J183">
        <v>2.04</v>
      </c>
      <c r="K183">
        <v>0.59</v>
      </c>
      <c r="L183">
        <v>4.6100000000000003</v>
      </c>
      <c r="M183">
        <v>11.15</v>
      </c>
      <c r="N183">
        <v>1.4</v>
      </c>
      <c r="O183" t="s">
        <v>156</v>
      </c>
      <c r="P183" t="s">
        <v>21</v>
      </c>
      <c r="Q183">
        <v>4.5999999999999996</v>
      </c>
    </row>
    <row r="184" spans="1:17" x14ac:dyDescent="0.35">
      <c r="A184" t="s">
        <v>284</v>
      </c>
      <c r="B184" s="1">
        <v>46220</v>
      </c>
      <c r="C184" t="s">
        <v>23</v>
      </c>
      <c r="D184" t="s">
        <v>50</v>
      </c>
      <c r="E184" s="2">
        <v>0.73750000000000004</v>
      </c>
      <c r="F184">
        <v>6</v>
      </c>
      <c r="G184">
        <v>308.77</v>
      </c>
      <c r="H184">
        <v>3.11</v>
      </c>
      <c r="I184">
        <v>1.03</v>
      </c>
      <c r="J184">
        <v>0.53</v>
      </c>
      <c r="K184">
        <v>0.44</v>
      </c>
      <c r="L184">
        <v>6.32</v>
      </c>
      <c r="M184">
        <v>11.43</v>
      </c>
      <c r="N184">
        <v>2.4</v>
      </c>
      <c r="O184" t="s">
        <v>150</v>
      </c>
      <c r="P184" t="s">
        <v>21</v>
      </c>
      <c r="Q184">
        <v>5</v>
      </c>
    </row>
    <row r="185" spans="1:17" x14ac:dyDescent="0.35">
      <c r="A185" t="s">
        <v>285</v>
      </c>
      <c r="B185" s="1">
        <v>46238</v>
      </c>
      <c r="C185" t="s">
        <v>23</v>
      </c>
      <c r="D185" t="s">
        <v>35</v>
      </c>
      <c r="E185" s="2">
        <v>0.52638888888888891</v>
      </c>
      <c r="F185">
        <v>5</v>
      </c>
      <c r="G185">
        <v>577.1</v>
      </c>
      <c r="H185">
        <v>3</v>
      </c>
      <c r="I185">
        <v>1.02</v>
      </c>
      <c r="J185">
        <v>2</v>
      </c>
      <c r="K185">
        <v>0.88</v>
      </c>
      <c r="L185">
        <v>4.75</v>
      </c>
      <c r="M185">
        <v>11.65</v>
      </c>
      <c r="N185">
        <v>1.21</v>
      </c>
      <c r="O185" t="s">
        <v>103</v>
      </c>
      <c r="P185" t="s">
        <v>21</v>
      </c>
      <c r="Q185">
        <v>4.4000000000000004</v>
      </c>
    </row>
    <row r="186" spans="1:17" x14ac:dyDescent="0.35">
      <c r="A186" t="s">
        <v>286</v>
      </c>
      <c r="B186" s="1">
        <v>46222</v>
      </c>
      <c r="C186" t="s">
        <v>23</v>
      </c>
      <c r="D186" t="s">
        <v>24</v>
      </c>
      <c r="E186" s="2">
        <v>0.37291666666666667</v>
      </c>
      <c r="F186">
        <v>4</v>
      </c>
      <c r="G186">
        <v>466.31</v>
      </c>
      <c r="H186">
        <v>2.4</v>
      </c>
      <c r="I186">
        <v>0.73</v>
      </c>
      <c r="J186">
        <v>0.56000000000000005</v>
      </c>
      <c r="K186">
        <v>0.44</v>
      </c>
      <c r="L186">
        <v>5.26</v>
      </c>
      <c r="M186">
        <v>9.39</v>
      </c>
      <c r="N186">
        <v>1.67</v>
      </c>
      <c r="O186" t="s">
        <v>103</v>
      </c>
      <c r="P186" t="s">
        <v>21</v>
      </c>
      <c r="Q186">
        <v>5</v>
      </c>
    </row>
    <row r="187" spans="1:17" x14ac:dyDescent="0.35">
      <c r="A187" t="s">
        <v>287</v>
      </c>
      <c r="B187" s="1">
        <v>46228</v>
      </c>
      <c r="C187" t="s">
        <v>23</v>
      </c>
      <c r="D187" t="s">
        <v>50</v>
      </c>
      <c r="E187" s="2">
        <v>0.63888888888888884</v>
      </c>
      <c r="F187">
        <v>3</v>
      </c>
      <c r="G187">
        <v>677.43</v>
      </c>
      <c r="H187">
        <v>2.61</v>
      </c>
      <c r="I187">
        <v>0.92</v>
      </c>
      <c r="J187">
        <v>0.3</v>
      </c>
      <c r="K187">
        <v>0.27</v>
      </c>
      <c r="L187">
        <v>5.62</v>
      </c>
      <c r="M187">
        <v>9.7200000000000006</v>
      </c>
      <c r="N187">
        <v>1.45</v>
      </c>
      <c r="O187" t="s">
        <v>63</v>
      </c>
      <c r="P187" t="s">
        <v>21</v>
      </c>
      <c r="Q187">
        <v>4.2</v>
      </c>
    </row>
    <row r="188" spans="1:17" x14ac:dyDescent="0.35">
      <c r="A188" t="s">
        <v>288</v>
      </c>
      <c r="B188" s="1">
        <v>46230</v>
      </c>
      <c r="C188" t="s">
        <v>23</v>
      </c>
      <c r="D188" t="s">
        <v>50</v>
      </c>
      <c r="E188" s="2">
        <v>0.28263888888888888</v>
      </c>
      <c r="F188">
        <v>4</v>
      </c>
      <c r="G188">
        <v>713.73</v>
      </c>
      <c r="H188">
        <v>2.5099999999999998</v>
      </c>
      <c r="I188">
        <v>0.96</v>
      </c>
      <c r="J188">
        <v>0.6</v>
      </c>
      <c r="K188">
        <v>0.95</v>
      </c>
      <c r="L188">
        <v>4.18</v>
      </c>
      <c r="M188">
        <v>9.1999999999999993</v>
      </c>
      <c r="N188">
        <v>1.65</v>
      </c>
      <c r="O188" t="s">
        <v>205</v>
      </c>
      <c r="P188" t="s">
        <v>21</v>
      </c>
      <c r="Q188">
        <v>5</v>
      </c>
    </row>
    <row r="189" spans="1:17" x14ac:dyDescent="0.35">
      <c r="A189" t="s">
        <v>289</v>
      </c>
      <c r="B189" s="1">
        <v>46226</v>
      </c>
      <c r="C189" t="s">
        <v>18</v>
      </c>
      <c r="D189" t="s">
        <v>31</v>
      </c>
      <c r="E189" s="2">
        <v>0.36388888888888887</v>
      </c>
      <c r="F189">
        <v>4</v>
      </c>
      <c r="G189">
        <v>966.12</v>
      </c>
      <c r="H189">
        <v>2.67</v>
      </c>
      <c r="I189">
        <v>0.96</v>
      </c>
      <c r="J189">
        <v>1.65</v>
      </c>
      <c r="K189">
        <v>0.9</v>
      </c>
      <c r="L189">
        <v>5.43</v>
      </c>
      <c r="M189">
        <v>11.61</v>
      </c>
      <c r="N189">
        <v>1.71</v>
      </c>
      <c r="O189" t="s">
        <v>79</v>
      </c>
      <c r="P189" t="s">
        <v>21</v>
      </c>
      <c r="Q189">
        <v>5</v>
      </c>
    </row>
    <row r="190" spans="1:17" x14ac:dyDescent="0.35">
      <c r="A190" t="s">
        <v>290</v>
      </c>
      <c r="B190" s="1">
        <v>46219</v>
      </c>
      <c r="C190" t="s">
        <v>23</v>
      </c>
      <c r="D190" t="s">
        <v>24</v>
      </c>
      <c r="E190" s="2">
        <v>0.57430555555555551</v>
      </c>
      <c r="F190">
        <v>6</v>
      </c>
      <c r="G190">
        <v>604.33000000000004</v>
      </c>
      <c r="H190">
        <v>3.31</v>
      </c>
      <c r="I190">
        <v>1.08</v>
      </c>
      <c r="J190">
        <v>0.7</v>
      </c>
      <c r="K190">
        <v>0.67</v>
      </c>
      <c r="L190">
        <v>4.3499999999999996</v>
      </c>
      <c r="M190">
        <v>10.11</v>
      </c>
      <c r="N190">
        <v>1.71</v>
      </c>
      <c r="O190" t="s">
        <v>156</v>
      </c>
      <c r="P190" t="s">
        <v>21</v>
      </c>
      <c r="Q190">
        <v>4.5999999999999996</v>
      </c>
    </row>
    <row r="191" spans="1:17" x14ac:dyDescent="0.35">
      <c r="A191" t="s">
        <v>291</v>
      </c>
      <c r="B191" s="1">
        <v>46228</v>
      </c>
      <c r="C191" t="s">
        <v>23</v>
      </c>
      <c r="D191" t="s">
        <v>24</v>
      </c>
      <c r="E191" s="2">
        <v>0.62638888888888888</v>
      </c>
      <c r="F191">
        <v>7</v>
      </c>
      <c r="G191">
        <v>558.64</v>
      </c>
      <c r="H191">
        <v>3.34</v>
      </c>
      <c r="I191">
        <v>1.1100000000000001</v>
      </c>
      <c r="J191">
        <v>0.68</v>
      </c>
      <c r="K191">
        <v>0.47</v>
      </c>
      <c r="L191">
        <v>7.69</v>
      </c>
      <c r="M191">
        <v>13.29</v>
      </c>
      <c r="N191">
        <v>2.95</v>
      </c>
      <c r="O191" t="s">
        <v>127</v>
      </c>
      <c r="P191" t="s">
        <v>21</v>
      </c>
      <c r="Q191">
        <v>4.8</v>
      </c>
    </row>
    <row r="192" spans="1:17" x14ac:dyDescent="0.35">
      <c r="A192" t="s">
        <v>292</v>
      </c>
      <c r="B192" s="1">
        <v>46222</v>
      </c>
      <c r="C192" t="s">
        <v>23</v>
      </c>
      <c r="D192" t="s">
        <v>35</v>
      </c>
      <c r="E192" s="2">
        <v>2.4305555555555556E-2</v>
      </c>
      <c r="F192">
        <v>5</v>
      </c>
      <c r="G192">
        <v>534.99</v>
      </c>
      <c r="H192">
        <v>2.75</v>
      </c>
      <c r="I192">
        <v>1.03</v>
      </c>
      <c r="J192">
        <v>1.1599999999999999</v>
      </c>
      <c r="K192">
        <v>0.51</v>
      </c>
      <c r="L192">
        <v>4.5199999999999996</v>
      </c>
      <c r="M192">
        <v>9.9700000000000006</v>
      </c>
      <c r="N192">
        <v>1.21</v>
      </c>
      <c r="O192" t="s">
        <v>116</v>
      </c>
      <c r="P192" t="s">
        <v>21</v>
      </c>
      <c r="Q192">
        <v>5</v>
      </c>
    </row>
    <row r="193" spans="1:17" x14ac:dyDescent="0.35">
      <c r="A193" t="s">
        <v>293</v>
      </c>
      <c r="B193" s="1">
        <v>46242</v>
      </c>
      <c r="C193" t="s">
        <v>23</v>
      </c>
      <c r="D193" t="s">
        <v>35</v>
      </c>
      <c r="E193" s="2">
        <v>0.47499999999999998</v>
      </c>
      <c r="F193">
        <v>4</v>
      </c>
      <c r="G193">
        <v>436.43</v>
      </c>
      <c r="H193">
        <v>2.64</v>
      </c>
      <c r="I193">
        <v>0.94</v>
      </c>
      <c r="J193">
        <v>1.64</v>
      </c>
      <c r="K193">
        <v>0.91</v>
      </c>
      <c r="L193">
        <v>6.65</v>
      </c>
      <c r="M193">
        <v>12.78</v>
      </c>
      <c r="N193">
        <v>2.4</v>
      </c>
      <c r="O193" t="s">
        <v>103</v>
      </c>
      <c r="P193" t="s">
        <v>21</v>
      </c>
      <c r="Q193">
        <v>3.7</v>
      </c>
    </row>
    <row r="194" spans="1:17" x14ac:dyDescent="0.35">
      <c r="A194" t="s">
        <v>294</v>
      </c>
      <c r="B194" s="1">
        <v>46234</v>
      </c>
      <c r="C194" t="s">
        <v>23</v>
      </c>
      <c r="D194" t="s">
        <v>50</v>
      </c>
      <c r="E194" s="2">
        <v>1.3194444444444444E-2</v>
      </c>
      <c r="F194">
        <v>6</v>
      </c>
      <c r="G194">
        <v>560.92999999999995</v>
      </c>
      <c r="H194">
        <v>3.09</v>
      </c>
      <c r="I194">
        <v>0.99</v>
      </c>
      <c r="J194">
        <v>1.38</v>
      </c>
      <c r="K194">
        <v>0.9</v>
      </c>
      <c r="L194">
        <v>7.34</v>
      </c>
      <c r="M194">
        <v>13.7</v>
      </c>
      <c r="N194">
        <v>3.3</v>
      </c>
      <c r="O194" t="s">
        <v>226</v>
      </c>
      <c r="P194" t="s">
        <v>21</v>
      </c>
      <c r="Q194">
        <v>4.8</v>
      </c>
    </row>
    <row r="195" spans="1:17" hidden="1" x14ac:dyDescent="0.35">
      <c r="A195" t="s">
        <v>295</v>
      </c>
      <c r="B195" s="1">
        <v>46237</v>
      </c>
      <c r="C195" t="s">
        <v>18</v>
      </c>
      <c r="D195" t="s">
        <v>31</v>
      </c>
      <c r="E195" s="2">
        <v>0.22222222222222221</v>
      </c>
      <c r="F195">
        <v>8</v>
      </c>
      <c r="G195">
        <v>446.83</v>
      </c>
      <c r="H195">
        <v>3.43</v>
      </c>
      <c r="I195">
        <v>1.1200000000000001</v>
      </c>
      <c r="J195">
        <v>1.97</v>
      </c>
      <c r="K195">
        <v>1.03</v>
      </c>
      <c r="L195">
        <v>6.1</v>
      </c>
      <c r="M195">
        <v>13.65</v>
      </c>
      <c r="N195">
        <v>1.74</v>
      </c>
      <c r="O195" t="s">
        <v>174</v>
      </c>
      <c r="P195" t="s">
        <v>125</v>
      </c>
    </row>
    <row r="196" spans="1:17" x14ac:dyDescent="0.35">
      <c r="A196" t="s">
        <v>296</v>
      </c>
      <c r="B196" s="1">
        <v>46243</v>
      </c>
      <c r="C196" t="s">
        <v>23</v>
      </c>
      <c r="D196" t="s">
        <v>50</v>
      </c>
      <c r="E196" s="2">
        <v>0.35486111111111113</v>
      </c>
      <c r="F196">
        <v>6</v>
      </c>
      <c r="G196">
        <v>530.32000000000005</v>
      </c>
      <c r="H196">
        <v>3.03</v>
      </c>
      <c r="I196">
        <v>1.04</v>
      </c>
      <c r="J196">
        <v>0.98</v>
      </c>
      <c r="K196">
        <v>0.78</v>
      </c>
      <c r="L196">
        <v>5.68</v>
      </c>
      <c r="M196">
        <v>11.51</v>
      </c>
      <c r="N196">
        <v>1.55</v>
      </c>
      <c r="O196" t="s">
        <v>274</v>
      </c>
      <c r="P196" t="s">
        <v>21</v>
      </c>
      <c r="Q196">
        <v>4.4000000000000004</v>
      </c>
    </row>
    <row r="197" spans="1:17" x14ac:dyDescent="0.35">
      <c r="A197" t="s">
        <v>297</v>
      </c>
      <c r="B197" s="1">
        <v>46217</v>
      </c>
      <c r="C197" t="s">
        <v>23</v>
      </c>
      <c r="D197" t="s">
        <v>50</v>
      </c>
      <c r="E197" s="2">
        <v>0.27708333333333335</v>
      </c>
      <c r="F197">
        <v>4</v>
      </c>
      <c r="G197">
        <v>737.17</v>
      </c>
      <c r="H197">
        <v>3.24</v>
      </c>
      <c r="I197">
        <v>1.06</v>
      </c>
      <c r="J197">
        <v>0.3</v>
      </c>
      <c r="K197">
        <v>0.56000000000000005</v>
      </c>
      <c r="L197">
        <v>6.11</v>
      </c>
      <c r="M197">
        <v>11.27</v>
      </c>
      <c r="N197">
        <v>1.99</v>
      </c>
      <c r="O197" t="s">
        <v>202</v>
      </c>
      <c r="P197" t="s">
        <v>21</v>
      </c>
      <c r="Q197">
        <v>5</v>
      </c>
    </row>
    <row r="198" spans="1:17" x14ac:dyDescent="0.35">
      <c r="A198" t="s">
        <v>298</v>
      </c>
      <c r="B198" s="1">
        <v>46225</v>
      </c>
      <c r="C198" t="s">
        <v>23</v>
      </c>
      <c r="D198" t="s">
        <v>50</v>
      </c>
      <c r="E198" s="2">
        <v>0.45347222222222222</v>
      </c>
      <c r="F198">
        <v>6</v>
      </c>
      <c r="G198">
        <v>318.82</v>
      </c>
      <c r="H198">
        <v>3.32</v>
      </c>
      <c r="I198">
        <v>0.88</v>
      </c>
      <c r="J198">
        <v>0.73</v>
      </c>
      <c r="K198">
        <v>0.75</v>
      </c>
      <c r="L198">
        <v>7.68</v>
      </c>
      <c r="M198">
        <v>13.36</v>
      </c>
      <c r="N198">
        <v>3.26</v>
      </c>
      <c r="O198" t="s">
        <v>114</v>
      </c>
      <c r="P198" t="s">
        <v>21</v>
      </c>
      <c r="Q198">
        <v>4.3</v>
      </c>
    </row>
    <row r="199" spans="1:17" hidden="1" x14ac:dyDescent="0.35">
      <c r="A199" t="s">
        <v>299</v>
      </c>
      <c r="B199" s="1">
        <v>46228</v>
      </c>
      <c r="C199" t="s">
        <v>18</v>
      </c>
      <c r="D199" t="s">
        <v>42</v>
      </c>
      <c r="E199" s="2">
        <v>0.6743055555555556</v>
      </c>
      <c r="F199">
        <v>8</v>
      </c>
      <c r="G199">
        <v>705.18</v>
      </c>
      <c r="H199">
        <v>3.46</v>
      </c>
      <c r="I199">
        <v>1.01</v>
      </c>
      <c r="J199">
        <v>0.96</v>
      </c>
      <c r="K199">
        <v>0.93</v>
      </c>
      <c r="L199">
        <v>6.69</v>
      </c>
      <c r="M199">
        <v>13.05</v>
      </c>
      <c r="N199">
        <v>2.37</v>
      </c>
      <c r="O199" t="s">
        <v>300</v>
      </c>
      <c r="P199" t="s">
        <v>125</v>
      </c>
    </row>
    <row r="200" spans="1:17" x14ac:dyDescent="0.35">
      <c r="A200" t="s">
        <v>301</v>
      </c>
      <c r="B200" s="1">
        <v>46240</v>
      </c>
      <c r="C200" t="s">
        <v>23</v>
      </c>
      <c r="D200" t="s">
        <v>24</v>
      </c>
      <c r="E200" s="2">
        <v>0.3263888888888889</v>
      </c>
      <c r="F200">
        <v>8</v>
      </c>
      <c r="G200">
        <v>737.08</v>
      </c>
      <c r="H200">
        <v>3.8</v>
      </c>
      <c r="I200">
        <v>1.21</v>
      </c>
      <c r="J200">
        <v>0.77</v>
      </c>
      <c r="K200">
        <v>1.04</v>
      </c>
      <c r="L200">
        <v>4.9800000000000004</v>
      </c>
      <c r="M200">
        <v>11.8</v>
      </c>
      <c r="N200">
        <v>1.72</v>
      </c>
      <c r="O200" t="s">
        <v>108</v>
      </c>
      <c r="P200" t="s">
        <v>21</v>
      </c>
      <c r="Q200">
        <v>4.7</v>
      </c>
    </row>
    <row r="201" spans="1:17" x14ac:dyDescent="0.35">
      <c r="A201" t="s">
        <v>302</v>
      </c>
      <c r="B201" s="1">
        <v>46236</v>
      </c>
      <c r="C201" t="s">
        <v>23</v>
      </c>
      <c r="D201" t="s">
        <v>50</v>
      </c>
      <c r="E201" s="2">
        <v>0.80972222222222223</v>
      </c>
      <c r="F201">
        <v>4</v>
      </c>
      <c r="G201">
        <v>478.75</v>
      </c>
      <c r="H201">
        <v>2.56</v>
      </c>
      <c r="I201">
        <v>0.88</v>
      </c>
      <c r="J201">
        <v>1.55</v>
      </c>
      <c r="K201">
        <v>1.18</v>
      </c>
      <c r="L201">
        <v>8</v>
      </c>
      <c r="M201">
        <v>14.17</v>
      </c>
      <c r="N201">
        <v>2.89</v>
      </c>
      <c r="O201" t="s">
        <v>38</v>
      </c>
      <c r="P201" t="s">
        <v>21</v>
      </c>
      <c r="Q201">
        <v>5</v>
      </c>
    </row>
    <row r="202" spans="1:17" x14ac:dyDescent="0.35">
      <c r="A202" t="s">
        <v>303</v>
      </c>
      <c r="B202" s="1">
        <v>46221</v>
      </c>
      <c r="C202" t="s">
        <v>23</v>
      </c>
      <c r="D202" t="s">
        <v>24</v>
      </c>
      <c r="E202" s="2">
        <v>0.77430555555555558</v>
      </c>
      <c r="F202">
        <v>8</v>
      </c>
      <c r="G202">
        <v>120</v>
      </c>
      <c r="H202">
        <v>3.97</v>
      </c>
      <c r="I202">
        <v>1.21</v>
      </c>
      <c r="J202">
        <v>0.87</v>
      </c>
      <c r="K202">
        <v>0.56999999999999995</v>
      </c>
      <c r="L202">
        <v>5.48</v>
      </c>
      <c r="M202">
        <v>12.1</v>
      </c>
      <c r="N202">
        <v>1.21</v>
      </c>
      <c r="O202" t="s">
        <v>44</v>
      </c>
      <c r="P202" t="s">
        <v>21</v>
      </c>
      <c r="Q202">
        <v>3.9</v>
      </c>
    </row>
    <row r="203" spans="1:17" x14ac:dyDescent="0.35">
      <c r="A203" t="s">
        <v>304</v>
      </c>
      <c r="B203" s="1">
        <v>46243</v>
      </c>
      <c r="C203" t="s">
        <v>46</v>
      </c>
      <c r="D203" t="s">
        <v>47</v>
      </c>
      <c r="E203" s="2">
        <v>0.95625000000000004</v>
      </c>
      <c r="F203">
        <v>5</v>
      </c>
      <c r="G203">
        <v>390.59</v>
      </c>
      <c r="H203">
        <v>3.03</v>
      </c>
      <c r="I203">
        <v>0.98</v>
      </c>
      <c r="J203">
        <v>1.99</v>
      </c>
      <c r="K203">
        <v>1.41</v>
      </c>
      <c r="L203">
        <v>8.3800000000000008</v>
      </c>
      <c r="M203">
        <v>15.79</v>
      </c>
      <c r="N203">
        <v>3.06</v>
      </c>
      <c r="O203" t="s">
        <v>174</v>
      </c>
      <c r="P203" t="s">
        <v>21</v>
      </c>
      <c r="Q203">
        <v>3.8</v>
      </c>
    </row>
    <row r="204" spans="1:17" x14ac:dyDescent="0.35">
      <c r="A204" t="s">
        <v>305</v>
      </c>
      <c r="B204" s="1">
        <v>46243</v>
      </c>
      <c r="C204" t="s">
        <v>23</v>
      </c>
      <c r="D204" t="s">
        <v>35</v>
      </c>
      <c r="E204" s="2">
        <v>0.57847222222222228</v>
      </c>
      <c r="F204">
        <v>3</v>
      </c>
      <c r="G204">
        <v>733.46</v>
      </c>
      <c r="H204">
        <v>2.42</v>
      </c>
      <c r="I204">
        <v>0.76</v>
      </c>
      <c r="J204">
        <v>1.47</v>
      </c>
      <c r="K204">
        <v>0.98</v>
      </c>
      <c r="L204">
        <v>6.28</v>
      </c>
      <c r="M204">
        <v>11.91</v>
      </c>
      <c r="N204">
        <v>2.57</v>
      </c>
      <c r="O204" t="s">
        <v>103</v>
      </c>
      <c r="P204" t="s">
        <v>21</v>
      </c>
      <c r="Q204">
        <v>5</v>
      </c>
    </row>
    <row r="205" spans="1:17" x14ac:dyDescent="0.35">
      <c r="A205" t="s">
        <v>306</v>
      </c>
      <c r="B205" s="1">
        <v>46227</v>
      </c>
      <c r="C205" t="s">
        <v>18</v>
      </c>
      <c r="D205" t="s">
        <v>31</v>
      </c>
      <c r="E205" s="2">
        <v>0.50416666666666665</v>
      </c>
      <c r="F205">
        <v>6</v>
      </c>
      <c r="G205">
        <v>495.88</v>
      </c>
      <c r="H205">
        <v>3.28</v>
      </c>
      <c r="I205">
        <v>1.21</v>
      </c>
      <c r="J205">
        <v>0.95</v>
      </c>
      <c r="K205">
        <v>0.52</v>
      </c>
      <c r="L205">
        <v>5.87</v>
      </c>
      <c r="M205">
        <v>11.83</v>
      </c>
      <c r="N205">
        <v>1.92</v>
      </c>
      <c r="O205" t="s">
        <v>150</v>
      </c>
      <c r="P205" t="s">
        <v>21</v>
      </c>
      <c r="Q205">
        <v>5</v>
      </c>
    </row>
    <row r="206" spans="1:17" x14ac:dyDescent="0.35">
      <c r="A206" t="s">
        <v>307</v>
      </c>
      <c r="B206" s="1">
        <v>46227</v>
      </c>
      <c r="C206" t="s">
        <v>46</v>
      </c>
      <c r="D206" t="s">
        <v>58</v>
      </c>
      <c r="E206" s="2">
        <v>0.59236111111111112</v>
      </c>
      <c r="F206">
        <v>4</v>
      </c>
      <c r="G206">
        <v>320.13</v>
      </c>
      <c r="H206">
        <v>2.13</v>
      </c>
      <c r="I206">
        <v>0.68</v>
      </c>
      <c r="J206">
        <v>0.79</v>
      </c>
      <c r="K206">
        <v>0.92</v>
      </c>
      <c r="L206">
        <v>4.24</v>
      </c>
      <c r="M206">
        <v>8.76</v>
      </c>
      <c r="N206">
        <v>1.45</v>
      </c>
      <c r="O206" t="s">
        <v>137</v>
      </c>
      <c r="P206" t="s">
        <v>21</v>
      </c>
      <c r="Q206">
        <v>5</v>
      </c>
    </row>
    <row r="207" spans="1:17" x14ac:dyDescent="0.35">
      <c r="A207" t="s">
        <v>308</v>
      </c>
      <c r="B207" s="1">
        <v>46235</v>
      </c>
      <c r="C207" t="s">
        <v>23</v>
      </c>
      <c r="D207" t="s">
        <v>24</v>
      </c>
      <c r="E207" s="2">
        <v>3.4722222222222224E-2</v>
      </c>
      <c r="F207">
        <v>4</v>
      </c>
      <c r="G207">
        <v>409.14</v>
      </c>
      <c r="H207">
        <v>2.29</v>
      </c>
      <c r="I207">
        <v>0.77</v>
      </c>
      <c r="J207">
        <v>0.67</v>
      </c>
      <c r="K207">
        <v>0.92</v>
      </c>
      <c r="L207">
        <v>5.18</v>
      </c>
      <c r="M207">
        <v>9.83</v>
      </c>
      <c r="N207">
        <v>1.4</v>
      </c>
      <c r="O207" t="s">
        <v>69</v>
      </c>
      <c r="P207" t="s">
        <v>21</v>
      </c>
      <c r="Q207">
        <v>4.5</v>
      </c>
    </row>
    <row r="208" spans="1:17" x14ac:dyDescent="0.35">
      <c r="A208" t="s">
        <v>309</v>
      </c>
      <c r="B208" s="1">
        <v>46226</v>
      </c>
      <c r="C208" t="s">
        <v>46</v>
      </c>
      <c r="D208" t="s">
        <v>47</v>
      </c>
      <c r="E208" s="2">
        <v>0.39861111111111114</v>
      </c>
      <c r="F208">
        <v>4</v>
      </c>
      <c r="G208">
        <v>651.30999999999995</v>
      </c>
      <c r="H208">
        <v>2.2599999999999998</v>
      </c>
      <c r="I208">
        <v>0.86</v>
      </c>
      <c r="J208">
        <v>1.18</v>
      </c>
      <c r="K208">
        <v>0.59</v>
      </c>
      <c r="L208">
        <v>7.1</v>
      </c>
      <c r="M208">
        <v>11.99</v>
      </c>
      <c r="N208">
        <v>2.68</v>
      </c>
      <c r="O208" t="s">
        <v>145</v>
      </c>
      <c r="P208" t="s">
        <v>21</v>
      </c>
      <c r="Q208">
        <v>5</v>
      </c>
    </row>
    <row r="209" spans="1:17" x14ac:dyDescent="0.35">
      <c r="A209" t="s">
        <v>310</v>
      </c>
      <c r="B209" s="1">
        <v>46241</v>
      </c>
      <c r="C209" t="s">
        <v>18</v>
      </c>
      <c r="D209" t="s">
        <v>31</v>
      </c>
      <c r="E209" s="2">
        <v>0.84236111111111112</v>
      </c>
      <c r="F209">
        <v>5</v>
      </c>
      <c r="G209">
        <v>598.41</v>
      </c>
      <c r="H209">
        <v>2.95</v>
      </c>
      <c r="I209">
        <v>0.75</v>
      </c>
      <c r="J209">
        <v>2.72</v>
      </c>
      <c r="K209">
        <v>1.07</v>
      </c>
      <c r="L209">
        <v>7.54</v>
      </c>
      <c r="M209">
        <v>15.03</v>
      </c>
      <c r="N209">
        <v>3.56</v>
      </c>
      <c r="O209" t="s">
        <v>29</v>
      </c>
      <c r="P209" t="s">
        <v>21</v>
      </c>
      <c r="Q209">
        <v>5</v>
      </c>
    </row>
    <row r="210" spans="1:17" x14ac:dyDescent="0.35">
      <c r="A210" t="s">
        <v>311</v>
      </c>
      <c r="B210" s="1">
        <v>46238</v>
      </c>
      <c r="C210" t="s">
        <v>23</v>
      </c>
      <c r="D210" t="s">
        <v>35</v>
      </c>
      <c r="E210" s="2">
        <v>0.79722222222222228</v>
      </c>
      <c r="F210">
        <v>2</v>
      </c>
      <c r="G210">
        <v>456.99</v>
      </c>
      <c r="H210">
        <v>2.85</v>
      </c>
      <c r="I210">
        <v>0.69</v>
      </c>
      <c r="J210">
        <v>1.71</v>
      </c>
      <c r="K210">
        <v>1.21</v>
      </c>
      <c r="L210">
        <v>5.33</v>
      </c>
      <c r="M210">
        <v>11.79</v>
      </c>
      <c r="N210">
        <v>1.88</v>
      </c>
      <c r="O210" t="s">
        <v>229</v>
      </c>
      <c r="P210" t="s">
        <v>21</v>
      </c>
      <c r="Q210">
        <v>5</v>
      </c>
    </row>
    <row r="211" spans="1:17" x14ac:dyDescent="0.35">
      <c r="A211" t="s">
        <v>312</v>
      </c>
      <c r="B211" s="1">
        <v>46243</v>
      </c>
      <c r="C211" t="s">
        <v>23</v>
      </c>
      <c r="D211" t="s">
        <v>35</v>
      </c>
      <c r="E211" s="2">
        <v>0.10347222222222222</v>
      </c>
      <c r="F211">
        <v>4</v>
      </c>
      <c r="G211">
        <v>433.97</v>
      </c>
      <c r="H211">
        <v>3.46</v>
      </c>
      <c r="I211">
        <v>1.07</v>
      </c>
      <c r="J211">
        <v>1.1299999999999999</v>
      </c>
      <c r="K211">
        <v>0.99</v>
      </c>
      <c r="L211">
        <v>6.59</v>
      </c>
      <c r="M211">
        <v>13.24</v>
      </c>
      <c r="N211">
        <v>2.61</v>
      </c>
      <c r="O211" t="s">
        <v>184</v>
      </c>
      <c r="P211" t="s">
        <v>21</v>
      </c>
      <c r="Q211">
        <v>4.2</v>
      </c>
    </row>
    <row r="212" spans="1:17" x14ac:dyDescent="0.35">
      <c r="A212" t="s">
        <v>313</v>
      </c>
      <c r="B212" s="1">
        <v>46240</v>
      </c>
      <c r="C212" t="s">
        <v>18</v>
      </c>
      <c r="D212" t="s">
        <v>42</v>
      </c>
      <c r="E212" s="2">
        <v>0.21736111111111112</v>
      </c>
      <c r="F212">
        <v>8</v>
      </c>
      <c r="G212">
        <v>429.48</v>
      </c>
      <c r="H212">
        <v>3.78</v>
      </c>
      <c r="I212">
        <v>1.19</v>
      </c>
      <c r="J212">
        <v>0.59</v>
      </c>
      <c r="K212">
        <v>0.95</v>
      </c>
      <c r="L212">
        <v>3.15</v>
      </c>
      <c r="M212">
        <v>9.66</v>
      </c>
      <c r="N212">
        <v>0.4</v>
      </c>
      <c r="O212" t="s">
        <v>116</v>
      </c>
      <c r="P212" t="s">
        <v>21</v>
      </c>
      <c r="Q212">
        <v>5</v>
      </c>
    </row>
    <row r="213" spans="1:17" x14ac:dyDescent="0.35">
      <c r="A213" t="s">
        <v>314</v>
      </c>
      <c r="B213" s="1">
        <v>46222</v>
      </c>
      <c r="C213" t="s">
        <v>18</v>
      </c>
      <c r="D213" t="s">
        <v>19</v>
      </c>
      <c r="E213" s="2">
        <v>0.39513888888888887</v>
      </c>
      <c r="F213">
        <v>4</v>
      </c>
      <c r="G213">
        <v>333.97</v>
      </c>
      <c r="H213">
        <v>2.86</v>
      </c>
      <c r="I213">
        <v>0.9</v>
      </c>
      <c r="J213">
        <v>0.52</v>
      </c>
      <c r="K213">
        <v>0.61</v>
      </c>
      <c r="L213">
        <v>4.62</v>
      </c>
      <c r="M213">
        <v>9.51</v>
      </c>
      <c r="N213">
        <v>1.67</v>
      </c>
      <c r="O213" t="s">
        <v>33</v>
      </c>
      <c r="P213" t="s">
        <v>21</v>
      </c>
      <c r="Q213">
        <v>5</v>
      </c>
    </row>
    <row r="214" spans="1:17" x14ac:dyDescent="0.35">
      <c r="A214" t="s">
        <v>315</v>
      </c>
      <c r="B214" s="1">
        <v>46216</v>
      </c>
      <c r="C214" t="s">
        <v>46</v>
      </c>
      <c r="D214" t="s">
        <v>58</v>
      </c>
      <c r="E214" s="2">
        <v>0.94791666666666663</v>
      </c>
      <c r="F214">
        <v>6</v>
      </c>
      <c r="G214">
        <v>790.77</v>
      </c>
      <c r="H214">
        <v>2.4900000000000002</v>
      </c>
      <c r="I214">
        <v>0.88</v>
      </c>
      <c r="J214">
        <v>1.62</v>
      </c>
      <c r="K214">
        <v>1.1100000000000001</v>
      </c>
      <c r="L214">
        <v>7.01</v>
      </c>
      <c r="M214">
        <v>13.11</v>
      </c>
      <c r="N214">
        <v>2.42</v>
      </c>
      <c r="O214" t="s">
        <v>106</v>
      </c>
      <c r="P214" t="s">
        <v>21</v>
      </c>
      <c r="Q214">
        <v>4.8</v>
      </c>
    </row>
    <row r="215" spans="1:17" x14ac:dyDescent="0.35">
      <c r="A215" t="s">
        <v>316</v>
      </c>
      <c r="B215" s="1">
        <v>46216</v>
      </c>
      <c r="C215" t="s">
        <v>23</v>
      </c>
      <c r="D215" t="s">
        <v>35</v>
      </c>
      <c r="E215" s="2">
        <v>0.21111111111111111</v>
      </c>
      <c r="F215">
        <v>3</v>
      </c>
      <c r="G215">
        <v>441.98</v>
      </c>
      <c r="H215">
        <v>2.27</v>
      </c>
      <c r="I215">
        <v>0.72</v>
      </c>
      <c r="J215">
        <v>0.59</v>
      </c>
      <c r="K215">
        <v>0.74</v>
      </c>
      <c r="L215">
        <v>4.9800000000000004</v>
      </c>
      <c r="M215">
        <v>9.3000000000000007</v>
      </c>
      <c r="N215">
        <v>1.38</v>
      </c>
      <c r="O215" t="s">
        <v>150</v>
      </c>
      <c r="P215" t="s">
        <v>21</v>
      </c>
      <c r="Q215">
        <v>5</v>
      </c>
    </row>
    <row r="216" spans="1:17" x14ac:dyDescent="0.35">
      <c r="A216" t="s">
        <v>317</v>
      </c>
      <c r="B216" s="1">
        <v>46240</v>
      </c>
      <c r="C216" t="s">
        <v>18</v>
      </c>
      <c r="D216" t="s">
        <v>19</v>
      </c>
      <c r="E216" s="2">
        <v>0.47291666666666665</v>
      </c>
      <c r="F216">
        <v>4</v>
      </c>
      <c r="G216">
        <v>719.09</v>
      </c>
      <c r="H216">
        <v>2.4</v>
      </c>
      <c r="I216">
        <v>0.82</v>
      </c>
      <c r="J216">
        <v>0.79</v>
      </c>
      <c r="K216">
        <v>0.94</v>
      </c>
      <c r="L216">
        <v>4.7</v>
      </c>
      <c r="M216">
        <v>9.65</v>
      </c>
      <c r="N216">
        <v>1.36</v>
      </c>
      <c r="O216" t="s">
        <v>140</v>
      </c>
      <c r="P216" t="s">
        <v>21</v>
      </c>
      <c r="Q216">
        <v>5</v>
      </c>
    </row>
    <row r="217" spans="1:17" x14ac:dyDescent="0.35">
      <c r="A217" t="s">
        <v>318</v>
      </c>
      <c r="B217" s="1">
        <v>46242</v>
      </c>
      <c r="C217" t="s">
        <v>23</v>
      </c>
      <c r="D217" t="s">
        <v>50</v>
      </c>
      <c r="E217" s="2">
        <v>0.58125000000000004</v>
      </c>
      <c r="F217">
        <v>2</v>
      </c>
      <c r="G217">
        <v>773.84</v>
      </c>
      <c r="H217">
        <v>2.02</v>
      </c>
      <c r="I217">
        <v>0.67</v>
      </c>
      <c r="J217">
        <v>0.76</v>
      </c>
      <c r="K217">
        <v>1.08</v>
      </c>
      <c r="L217">
        <v>4.76</v>
      </c>
      <c r="M217">
        <v>9.2899999999999991</v>
      </c>
      <c r="N217">
        <v>1.6</v>
      </c>
      <c r="O217" t="s">
        <v>114</v>
      </c>
      <c r="P217" t="s">
        <v>21</v>
      </c>
      <c r="Q217">
        <v>4.5999999999999996</v>
      </c>
    </row>
    <row r="218" spans="1:17" x14ac:dyDescent="0.35">
      <c r="A218" t="s">
        <v>319</v>
      </c>
      <c r="B218" s="1">
        <v>46240</v>
      </c>
      <c r="C218" t="s">
        <v>46</v>
      </c>
      <c r="D218" t="s">
        <v>47</v>
      </c>
      <c r="E218" s="2">
        <v>0.74791666666666667</v>
      </c>
      <c r="F218">
        <v>6</v>
      </c>
      <c r="G218">
        <v>679.7</v>
      </c>
      <c r="H218">
        <v>3.06</v>
      </c>
      <c r="I218">
        <v>1.18</v>
      </c>
      <c r="J218">
        <v>1.18</v>
      </c>
      <c r="K218">
        <v>0.72</v>
      </c>
      <c r="L218">
        <v>7.09</v>
      </c>
      <c r="M218">
        <v>13.23</v>
      </c>
      <c r="N218">
        <v>2.46</v>
      </c>
      <c r="O218" t="s">
        <v>320</v>
      </c>
      <c r="P218" t="s">
        <v>21</v>
      </c>
      <c r="Q218">
        <v>5</v>
      </c>
    </row>
    <row r="219" spans="1:17" x14ac:dyDescent="0.35">
      <c r="A219" t="s">
        <v>321</v>
      </c>
      <c r="B219" s="1">
        <v>46235</v>
      </c>
      <c r="C219" t="s">
        <v>18</v>
      </c>
      <c r="D219" t="s">
        <v>19</v>
      </c>
      <c r="E219" s="2">
        <v>0.6958333333333333</v>
      </c>
      <c r="F219">
        <v>5</v>
      </c>
      <c r="G219">
        <v>422.31</v>
      </c>
      <c r="H219">
        <v>2.73</v>
      </c>
      <c r="I219">
        <v>1.02</v>
      </c>
      <c r="J219">
        <v>1.01</v>
      </c>
      <c r="K219">
        <v>0.86</v>
      </c>
      <c r="L219">
        <v>6.76</v>
      </c>
      <c r="M219">
        <v>12.38</v>
      </c>
      <c r="N219">
        <v>2.0299999999999998</v>
      </c>
      <c r="O219" t="s">
        <v>181</v>
      </c>
      <c r="P219" t="s">
        <v>21</v>
      </c>
      <c r="Q219">
        <v>4.9000000000000004</v>
      </c>
    </row>
    <row r="220" spans="1:17" x14ac:dyDescent="0.35">
      <c r="A220" t="s">
        <v>322</v>
      </c>
      <c r="B220" s="1">
        <v>46228</v>
      </c>
      <c r="C220" t="s">
        <v>23</v>
      </c>
      <c r="D220" t="s">
        <v>24</v>
      </c>
      <c r="E220" s="2">
        <v>0.30763888888888891</v>
      </c>
      <c r="F220">
        <v>4</v>
      </c>
      <c r="G220">
        <v>572.66999999999996</v>
      </c>
      <c r="H220">
        <v>1.99</v>
      </c>
      <c r="I220">
        <v>0.74</v>
      </c>
      <c r="J220">
        <v>0.62</v>
      </c>
      <c r="K220">
        <v>1</v>
      </c>
      <c r="L220">
        <v>3.05</v>
      </c>
      <c r="M220">
        <v>7.4</v>
      </c>
      <c r="N220">
        <v>0.4</v>
      </c>
      <c r="O220" t="s">
        <v>20</v>
      </c>
      <c r="P220" t="s">
        <v>21</v>
      </c>
      <c r="Q220">
        <v>5</v>
      </c>
    </row>
    <row r="221" spans="1:17" x14ac:dyDescent="0.35">
      <c r="A221" t="s">
        <v>323</v>
      </c>
      <c r="B221" s="1">
        <v>46224</v>
      </c>
      <c r="C221" t="s">
        <v>23</v>
      </c>
      <c r="D221" t="s">
        <v>24</v>
      </c>
      <c r="E221" s="2">
        <v>0.42499999999999999</v>
      </c>
      <c r="F221">
        <v>8</v>
      </c>
      <c r="G221">
        <v>495.64</v>
      </c>
      <c r="H221">
        <v>3.82</v>
      </c>
      <c r="I221">
        <v>1.22</v>
      </c>
      <c r="J221">
        <v>0.93</v>
      </c>
      <c r="K221">
        <v>0.63</v>
      </c>
      <c r="L221">
        <v>3</v>
      </c>
      <c r="M221">
        <v>9.6</v>
      </c>
      <c r="N221">
        <v>0.4</v>
      </c>
      <c r="O221" t="s">
        <v>156</v>
      </c>
      <c r="P221" t="s">
        <v>21</v>
      </c>
      <c r="Q221">
        <v>5</v>
      </c>
    </row>
    <row r="222" spans="1:17" x14ac:dyDescent="0.35">
      <c r="A222" t="s">
        <v>324</v>
      </c>
      <c r="B222" s="1">
        <v>46218</v>
      </c>
      <c r="C222" t="s">
        <v>23</v>
      </c>
      <c r="D222" t="s">
        <v>35</v>
      </c>
      <c r="E222" s="2">
        <v>0.68888888888888888</v>
      </c>
      <c r="F222">
        <v>5</v>
      </c>
      <c r="G222">
        <v>337.33</v>
      </c>
      <c r="H222">
        <v>2.52</v>
      </c>
      <c r="I222">
        <v>1.01</v>
      </c>
      <c r="J222">
        <v>0.91</v>
      </c>
      <c r="K222">
        <v>0.4</v>
      </c>
      <c r="L222">
        <v>5.53</v>
      </c>
      <c r="M222">
        <v>10.37</v>
      </c>
      <c r="N222">
        <v>1.65</v>
      </c>
      <c r="O222" t="s">
        <v>325</v>
      </c>
      <c r="P222" t="s">
        <v>21</v>
      </c>
      <c r="Q222">
        <v>4.5</v>
      </c>
    </row>
    <row r="223" spans="1:17" x14ac:dyDescent="0.35">
      <c r="A223" t="s">
        <v>326</v>
      </c>
      <c r="B223" s="1">
        <v>46222</v>
      </c>
      <c r="C223" t="s">
        <v>23</v>
      </c>
      <c r="D223" t="s">
        <v>35</v>
      </c>
      <c r="E223" s="2">
        <v>0.18263888888888888</v>
      </c>
      <c r="F223">
        <v>8</v>
      </c>
      <c r="G223">
        <v>558.38</v>
      </c>
      <c r="H223">
        <v>3.64</v>
      </c>
      <c r="I223">
        <v>1.33</v>
      </c>
      <c r="J223">
        <v>1</v>
      </c>
      <c r="K223">
        <v>0.43</v>
      </c>
      <c r="L223">
        <v>6.55</v>
      </c>
      <c r="M223">
        <v>12.95</v>
      </c>
      <c r="N223">
        <v>2.61</v>
      </c>
      <c r="O223" t="s">
        <v>198</v>
      </c>
      <c r="P223" t="s">
        <v>21</v>
      </c>
      <c r="Q223">
        <v>4.5999999999999996</v>
      </c>
    </row>
    <row r="224" spans="1:17" x14ac:dyDescent="0.35">
      <c r="A224" t="s">
        <v>327</v>
      </c>
      <c r="B224" s="1">
        <v>46221</v>
      </c>
      <c r="C224" t="s">
        <v>23</v>
      </c>
      <c r="D224" t="s">
        <v>24</v>
      </c>
      <c r="E224" s="2">
        <v>0.74722222222222223</v>
      </c>
      <c r="F224">
        <v>6</v>
      </c>
      <c r="G224">
        <v>287.77</v>
      </c>
      <c r="H224">
        <v>3.85</v>
      </c>
      <c r="I224">
        <v>1.22</v>
      </c>
      <c r="J224">
        <v>1.34</v>
      </c>
      <c r="K224">
        <v>0.35</v>
      </c>
      <c r="L224">
        <v>3.24</v>
      </c>
      <c r="M224">
        <v>10</v>
      </c>
      <c r="N224">
        <v>0.4</v>
      </c>
      <c r="O224" t="s">
        <v>48</v>
      </c>
      <c r="P224" t="s">
        <v>21</v>
      </c>
      <c r="Q224">
        <v>4.8</v>
      </c>
    </row>
    <row r="225" spans="1:17" x14ac:dyDescent="0.35">
      <c r="A225" t="s">
        <v>328</v>
      </c>
      <c r="B225" s="1">
        <v>46223</v>
      </c>
      <c r="C225" t="s">
        <v>18</v>
      </c>
      <c r="D225" t="s">
        <v>31</v>
      </c>
      <c r="E225" s="2">
        <v>0.69652777777777775</v>
      </c>
      <c r="F225">
        <v>3</v>
      </c>
      <c r="G225">
        <v>713.78</v>
      </c>
      <c r="H225">
        <v>2.14</v>
      </c>
      <c r="I225">
        <v>0.67</v>
      </c>
      <c r="J225">
        <v>1.69</v>
      </c>
      <c r="K225">
        <v>0.53</v>
      </c>
      <c r="L225">
        <v>5.82</v>
      </c>
      <c r="M225">
        <v>10.85</v>
      </c>
      <c r="N225">
        <v>1.75</v>
      </c>
      <c r="O225" t="s">
        <v>165</v>
      </c>
      <c r="P225" t="s">
        <v>21</v>
      </c>
      <c r="Q225">
        <v>4.2</v>
      </c>
    </row>
    <row r="226" spans="1:17" x14ac:dyDescent="0.35">
      <c r="A226" t="s">
        <v>329</v>
      </c>
      <c r="B226" s="1">
        <v>46242</v>
      </c>
      <c r="C226" t="s">
        <v>18</v>
      </c>
      <c r="D226" t="s">
        <v>42</v>
      </c>
      <c r="E226" s="2">
        <v>2.7777777777777779E-3</v>
      </c>
      <c r="F226">
        <v>2</v>
      </c>
      <c r="G226">
        <v>416.37</v>
      </c>
      <c r="H226">
        <v>1.35</v>
      </c>
      <c r="I226">
        <v>0.61</v>
      </c>
      <c r="J226">
        <v>0.66</v>
      </c>
      <c r="K226">
        <v>0.84</v>
      </c>
      <c r="L226">
        <v>4.33</v>
      </c>
      <c r="M226">
        <v>7.79</v>
      </c>
      <c r="N226">
        <v>1.73</v>
      </c>
      <c r="O226" t="s">
        <v>106</v>
      </c>
      <c r="P226" t="s">
        <v>21</v>
      </c>
      <c r="Q226">
        <v>5</v>
      </c>
    </row>
    <row r="227" spans="1:17" hidden="1" x14ac:dyDescent="0.35">
      <c r="A227" t="s">
        <v>330</v>
      </c>
      <c r="B227" s="1">
        <v>46224</v>
      </c>
      <c r="C227" t="s">
        <v>18</v>
      </c>
      <c r="D227" t="s">
        <v>31</v>
      </c>
      <c r="E227" s="2">
        <v>0.78194444444444444</v>
      </c>
      <c r="F227">
        <v>7</v>
      </c>
      <c r="G227">
        <v>536.21</v>
      </c>
      <c r="H227">
        <v>3.24</v>
      </c>
      <c r="I227">
        <v>0.96</v>
      </c>
      <c r="J227">
        <v>1.51</v>
      </c>
      <c r="K227">
        <v>0.42</v>
      </c>
      <c r="L227">
        <v>8.77</v>
      </c>
      <c r="M227">
        <v>14.9</v>
      </c>
      <c r="N227">
        <v>3.45</v>
      </c>
      <c r="O227" t="s">
        <v>81</v>
      </c>
      <c r="P227" t="s">
        <v>125</v>
      </c>
    </row>
    <row r="228" spans="1:17" x14ac:dyDescent="0.35">
      <c r="A228" t="s">
        <v>331</v>
      </c>
      <c r="B228" s="1">
        <v>46220</v>
      </c>
      <c r="C228" t="s">
        <v>46</v>
      </c>
      <c r="D228" t="s">
        <v>47</v>
      </c>
      <c r="E228" s="2">
        <v>0.84652777777777777</v>
      </c>
      <c r="F228">
        <v>3</v>
      </c>
      <c r="G228">
        <v>550.99</v>
      </c>
      <c r="H228">
        <v>2.85</v>
      </c>
      <c r="I228">
        <v>0.76</v>
      </c>
      <c r="J228">
        <v>1.93</v>
      </c>
      <c r="K228">
        <v>0.8</v>
      </c>
      <c r="L228">
        <v>6.34</v>
      </c>
      <c r="M228">
        <v>12.68</v>
      </c>
      <c r="N228">
        <v>2.1</v>
      </c>
      <c r="O228" t="s">
        <v>67</v>
      </c>
      <c r="P228" t="s">
        <v>21</v>
      </c>
      <c r="Q228">
        <v>3.9</v>
      </c>
    </row>
    <row r="229" spans="1:17" x14ac:dyDescent="0.35">
      <c r="A229" t="s">
        <v>332</v>
      </c>
      <c r="B229" s="1">
        <v>46216</v>
      </c>
      <c r="C229" t="s">
        <v>18</v>
      </c>
      <c r="D229" t="s">
        <v>31</v>
      </c>
      <c r="E229" s="2">
        <v>0.53680555555555554</v>
      </c>
      <c r="F229">
        <v>4</v>
      </c>
      <c r="G229">
        <v>453.4</v>
      </c>
      <c r="H229">
        <v>3.37</v>
      </c>
      <c r="I229">
        <v>0.93</v>
      </c>
      <c r="J229">
        <v>0.7</v>
      </c>
      <c r="K229">
        <v>0.71</v>
      </c>
      <c r="L229">
        <v>6.41</v>
      </c>
      <c r="M229">
        <v>12.12</v>
      </c>
      <c r="N229">
        <v>2.54</v>
      </c>
      <c r="O229" t="s">
        <v>59</v>
      </c>
      <c r="P229" t="s">
        <v>21</v>
      </c>
      <c r="Q229">
        <v>4.7</v>
      </c>
    </row>
    <row r="230" spans="1:17" x14ac:dyDescent="0.35">
      <c r="A230" t="s">
        <v>333</v>
      </c>
      <c r="B230" s="1">
        <v>46234</v>
      </c>
      <c r="C230" t="s">
        <v>18</v>
      </c>
      <c r="D230" t="s">
        <v>19</v>
      </c>
      <c r="E230" s="2">
        <v>0.60833333333333328</v>
      </c>
      <c r="F230">
        <v>4</v>
      </c>
      <c r="G230">
        <v>605.6</v>
      </c>
      <c r="H230">
        <v>2.25</v>
      </c>
      <c r="I230">
        <v>0.99</v>
      </c>
      <c r="J230">
        <v>1.28</v>
      </c>
      <c r="K230">
        <v>0.63</v>
      </c>
      <c r="L230">
        <v>6.26</v>
      </c>
      <c r="M230">
        <v>11.41</v>
      </c>
      <c r="N230">
        <v>2.33</v>
      </c>
      <c r="O230" t="s">
        <v>97</v>
      </c>
      <c r="P230" t="s">
        <v>21</v>
      </c>
      <c r="Q230">
        <v>5</v>
      </c>
    </row>
    <row r="231" spans="1:17" x14ac:dyDescent="0.35">
      <c r="A231" t="s">
        <v>334</v>
      </c>
      <c r="B231" s="1">
        <v>46225</v>
      </c>
      <c r="C231" t="s">
        <v>18</v>
      </c>
      <c r="D231" t="s">
        <v>31</v>
      </c>
      <c r="E231" s="2">
        <v>0.68819444444444444</v>
      </c>
      <c r="F231">
        <v>4</v>
      </c>
      <c r="G231">
        <v>414.52</v>
      </c>
      <c r="H231">
        <v>2.85</v>
      </c>
      <c r="I231">
        <v>0.86</v>
      </c>
      <c r="J231">
        <v>1.76</v>
      </c>
      <c r="K231">
        <v>0.94</v>
      </c>
      <c r="L231">
        <v>3.3</v>
      </c>
      <c r="M231">
        <v>9.7100000000000009</v>
      </c>
      <c r="N231">
        <v>0.4</v>
      </c>
      <c r="O231" t="s">
        <v>97</v>
      </c>
      <c r="P231" t="s">
        <v>21</v>
      </c>
      <c r="Q231">
        <v>5</v>
      </c>
    </row>
    <row r="232" spans="1:17" x14ac:dyDescent="0.35">
      <c r="A232" t="s">
        <v>335</v>
      </c>
      <c r="B232" s="1">
        <v>46227</v>
      </c>
      <c r="C232" t="s">
        <v>23</v>
      </c>
      <c r="D232" t="s">
        <v>50</v>
      </c>
      <c r="E232" s="2">
        <v>0.61319444444444449</v>
      </c>
      <c r="F232">
        <v>5</v>
      </c>
      <c r="G232">
        <v>656.83</v>
      </c>
      <c r="H232">
        <v>2.74</v>
      </c>
      <c r="I232">
        <v>0.91</v>
      </c>
      <c r="J232">
        <v>0.48</v>
      </c>
      <c r="K232">
        <v>0.76</v>
      </c>
      <c r="L232">
        <v>6.23</v>
      </c>
      <c r="M232">
        <v>11.12</v>
      </c>
      <c r="N232">
        <v>2.89</v>
      </c>
      <c r="O232" t="s">
        <v>101</v>
      </c>
      <c r="P232" t="s">
        <v>21</v>
      </c>
      <c r="Q232">
        <v>4.8</v>
      </c>
    </row>
    <row r="233" spans="1:17" x14ac:dyDescent="0.35">
      <c r="A233" t="s">
        <v>336</v>
      </c>
      <c r="B233" s="1">
        <v>46239</v>
      </c>
      <c r="C233" t="s">
        <v>23</v>
      </c>
      <c r="D233" t="s">
        <v>24</v>
      </c>
      <c r="E233" s="2">
        <v>0.95347222222222228</v>
      </c>
      <c r="F233">
        <v>10</v>
      </c>
      <c r="G233">
        <v>257.72000000000003</v>
      </c>
      <c r="H233">
        <v>3.96</v>
      </c>
      <c r="I233">
        <v>1.37</v>
      </c>
      <c r="J233">
        <v>1.69</v>
      </c>
      <c r="K233">
        <v>1.35</v>
      </c>
      <c r="L233">
        <v>7.96</v>
      </c>
      <c r="M233">
        <v>16.329999999999998</v>
      </c>
      <c r="N233">
        <v>2.64</v>
      </c>
      <c r="O233" t="s">
        <v>145</v>
      </c>
      <c r="P233" t="s">
        <v>21</v>
      </c>
      <c r="Q233">
        <v>3.7</v>
      </c>
    </row>
    <row r="234" spans="1:17" x14ac:dyDescent="0.35">
      <c r="A234" t="s">
        <v>337</v>
      </c>
      <c r="B234" s="1">
        <v>46230</v>
      </c>
      <c r="C234" t="s">
        <v>23</v>
      </c>
      <c r="D234" t="s">
        <v>35</v>
      </c>
      <c r="E234" s="2">
        <v>3.1944444444444442E-2</v>
      </c>
      <c r="F234">
        <v>5</v>
      </c>
      <c r="G234">
        <v>522.75</v>
      </c>
      <c r="H234">
        <v>3.83</v>
      </c>
      <c r="I234">
        <v>0.85</v>
      </c>
      <c r="J234">
        <v>1.7</v>
      </c>
      <c r="K234">
        <v>0.67</v>
      </c>
      <c r="L234">
        <v>6.85</v>
      </c>
      <c r="M234">
        <v>13.9</v>
      </c>
      <c r="N234">
        <v>2.66</v>
      </c>
      <c r="O234" t="s">
        <v>20</v>
      </c>
      <c r="P234" t="s">
        <v>21</v>
      </c>
      <c r="Q234">
        <v>4.5999999999999996</v>
      </c>
    </row>
    <row r="235" spans="1:17" x14ac:dyDescent="0.35">
      <c r="A235" t="s">
        <v>338</v>
      </c>
      <c r="B235" s="1">
        <v>46242</v>
      </c>
      <c r="C235" t="s">
        <v>23</v>
      </c>
      <c r="D235" t="s">
        <v>35</v>
      </c>
      <c r="E235" s="2">
        <v>0.60138888888888886</v>
      </c>
      <c r="F235">
        <v>5</v>
      </c>
      <c r="G235">
        <v>849.01</v>
      </c>
      <c r="H235">
        <v>2.37</v>
      </c>
      <c r="I235">
        <v>1.2</v>
      </c>
      <c r="J235">
        <v>1.56</v>
      </c>
      <c r="K235">
        <v>1.06</v>
      </c>
      <c r="L235">
        <v>11.47</v>
      </c>
      <c r="M235">
        <v>17.66</v>
      </c>
      <c r="N235">
        <v>5.5</v>
      </c>
      <c r="O235" t="s">
        <v>152</v>
      </c>
      <c r="P235" t="s">
        <v>21</v>
      </c>
      <c r="Q235">
        <v>3.7</v>
      </c>
    </row>
    <row r="236" spans="1:17" x14ac:dyDescent="0.35">
      <c r="A236" t="s">
        <v>339</v>
      </c>
      <c r="B236" s="1">
        <v>46237</v>
      </c>
      <c r="C236" t="s">
        <v>23</v>
      </c>
      <c r="D236" t="s">
        <v>24</v>
      </c>
      <c r="E236" s="2">
        <v>0.5708333333333333</v>
      </c>
      <c r="F236">
        <v>8</v>
      </c>
      <c r="G236">
        <v>319.94</v>
      </c>
      <c r="H236">
        <v>3.65</v>
      </c>
      <c r="I236">
        <v>1</v>
      </c>
      <c r="J236">
        <v>1.3</v>
      </c>
      <c r="K236">
        <v>0.71</v>
      </c>
      <c r="L236">
        <v>3.84</v>
      </c>
      <c r="M236">
        <v>10.5</v>
      </c>
      <c r="N236">
        <v>0.4</v>
      </c>
      <c r="O236" t="s">
        <v>132</v>
      </c>
      <c r="P236" t="s">
        <v>21</v>
      </c>
      <c r="Q236">
        <v>4</v>
      </c>
    </row>
    <row r="237" spans="1:17" x14ac:dyDescent="0.35">
      <c r="A237" t="s">
        <v>340</v>
      </c>
      <c r="B237" s="1">
        <v>46239</v>
      </c>
      <c r="C237" t="s">
        <v>23</v>
      </c>
      <c r="D237" t="s">
        <v>35</v>
      </c>
      <c r="E237" s="2">
        <v>0.64930555555555558</v>
      </c>
      <c r="F237">
        <v>8</v>
      </c>
      <c r="G237">
        <v>378.01</v>
      </c>
      <c r="H237">
        <v>3.72</v>
      </c>
      <c r="I237">
        <v>1.21</v>
      </c>
      <c r="J237">
        <v>1.58</v>
      </c>
      <c r="K237">
        <v>1.07</v>
      </c>
      <c r="L237">
        <v>7.95</v>
      </c>
      <c r="M237">
        <v>15.53</v>
      </c>
      <c r="N237">
        <v>3.75</v>
      </c>
      <c r="O237" t="s">
        <v>36</v>
      </c>
      <c r="P237" t="s">
        <v>21</v>
      </c>
      <c r="Q237">
        <v>4.9000000000000004</v>
      </c>
    </row>
    <row r="238" spans="1:17" x14ac:dyDescent="0.35">
      <c r="A238" t="s">
        <v>341</v>
      </c>
      <c r="B238" s="1">
        <v>46224</v>
      </c>
      <c r="C238" t="s">
        <v>46</v>
      </c>
      <c r="D238" t="s">
        <v>58</v>
      </c>
      <c r="E238" s="2">
        <v>0.4548611111111111</v>
      </c>
      <c r="F238">
        <v>5</v>
      </c>
      <c r="G238">
        <v>592.5</v>
      </c>
      <c r="H238">
        <v>3.28</v>
      </c>
      <c r="I238">
        <v>1.19</v>
      </c>
      <c r="J238">
        <v>1.01</v>
      </c>
      <c r="K238">
        <v>0.7</v>
      </c>
      <c r="L238">
        <v>5.97</v>
      </c>
      <c r="M238">
        <v>12.15</v>
      </c>
      <c r="N238">
        <v>1.94</v>
      </c>
      <c r="O238" t="s">
        <v>97</v>
      </c>
      <c r="P238" t="s">
        <v>21</v>
      </c>
      <c r="Q238">
        <v>5</v>
      </c>
    </row>
    <row r="239" spans="1:17" x14ac:dyDescent="0.35">
      <c r="A239" t="s">
        <v>342</v>
      </c>
      <c r="B239" s="1">
        <v>46235</v>
      </c>
      <c r="C239" t="s">
        <v>18</v>
      </c>
      <c r="D239" t="s">
        <v>42</v>
      </c>
      <c r="E239" s="2">
        <v>0.18611111111111112</v>
      </c>
      <c r="F239">
        <v>4</v>
      </c>
      <c r="G239">
        <v>532.32000000000005</v>
      </c>
      <c r="H239">
        <v>2.71</v>
      </c>
      <c r="I239">
        <v>0.87</v>
      </c>
      <c r="J239">
        <v>0.53</v>
      </c>
      <c r="K239">
        <v>0.89</v>
      </c>
      <c r="L239">
        <v>6.37</v>
      </c>
      <c r="M239">
        <v>11.37</v>
      </c>
      <c r="N239">
        <v>2.46</v>
      </c>
      <c r="O239" t="s">
        <v>40</v>
      </c>
      <c r="P239" t="s">
        <v>21</v>
      </c>
      <c r="Q239">
        <v>4.9000000000000004</v>
      </c>
    </row>
    <row r="240" spans="1:17" x14ac:dyDescent="0.35">
      <c r="A240" t="s">
        <v>343</v>
      </c>
      <c r="B240" s="1">
        <v>46232</v>
      </c>
      <c r="C240" t="s">
        <v>23</v>
      </c>
      <c r="D240" t="s">
        <v>24</v>
      </c>
      <c r="E240" s="2">
        <v>0.25624999999999998</v>
      </c>
      <c r="F240">
        <v>7</v>
      </c>
      <c r="G240">
        <v>563.11</v>
      </c>
      <c r="H240">
        <v>3.45</v>
      </c>
      <c r="I240">
        <v>1.0900000000000001</v>
      </c>
      <c r="J240">
        <v>1.36</v>
      </c>
      <c r="K240">
        <v>0.57999999999999996</v>
      </c>
      <c r="L240">
        <v>6.51</v>
      </c>
      <c r="M240">
        <v>12.99</v>
      </c>
      <c r="N240">
        <v>2.16</v>
      </c>
      <c r="O240" t="s">
        <v>344</v>
      </c>
      <c r="P240" t="s">
        <v>21</v>
      </c>
      <c r="Q240">
        <v>4.7</v>
      </c>
    </row>
    <row r="241" spans="1:17" x14ac:dyDescent="0.35">
      <c r="A241" t="s">
        <v>345</v>
      </c>
      <c r="B241" s="1">
        <v>46232</v>
      </c>
      <c r="C241" t="s">
        <v>23</v>
      </c>
      <c r="D241" t="s">
        <v>24</v>
      </c>
      <c r="E241" s="2">
        <v>0.44097222222222221</v>
      </c>
      <c r="F241">
        <v>7</v>
      </c>
      <c r="G241">
        <v>588.04999999999995</v>
      </c>
      <c r="H241">
        <v>3.2</v>
      </c>
      <c r="I241">
        <v>1.07</v>
      </c>
      <c r="J241">
        <v>1.4</v>
      </c>
      <c r="K241">
        <v>0.63</v>
      </c>
      <c r="L241">
        <v>4.3499999999999996</v>
      </c>
      <c r="M241">
        <v>10.65</v>
      </c>
      <c r="N241">
        <v>1.82</v>
      </c>
      <c r="O241" t="s">
        <v>346</v>
      </c>
      <c r="P241" t="s">
        <v>21</v>
      </c>
      <c r="Q24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2EAF-8C5F-492C-A035-0DDCA69FBA31}">
  <dimension ref="A1:F9"/>
  <sheetViews>
    <sheetView zoomScale="112" zoomScaleNormal="112" workbookViewId="0">
      <selection activeCell="F8" sqref="F8"/>
    </sheetView>
  </sheetViews>
  <sheetFormatPr defaultColWidth="9" defaultRowHeight="14.5" x14ac:dyDescent="0.35"/>
  <cols>
    <col min="1" max="1" width="9.6328125" customWidth="1"/>
    <col min="3" max="3" width="14.81640625" customWidth="1"/>
    <col min="4" max="4" width="13.453125" customWidth="1"/>
    <col min="5" max="5" width="18.08984375" bestFit="1" customWidth="1"/>
    <col min="6" max="6" width="29.6328125" bestFit="1" customWidth="1"/>
  </cols>
  <sheetData>
    <row r="1" spans="1:6" x14ac:dyDescent="0.35">
      <c r="A1" t="s">
        <v>3</v>
      </c>
      <c r="B1" t="s">
        <v>2</v>
      </c>
      <c r="C1" t="s">
        <v>381</v>
      </c>
      <c r="D1" t="s">
        <v>380</v>
      </c>
      <c r="E1" t="s">
        <v>383</v>
      </c>
      <c r="F1" t="s">
        <v>384</v>
      </c>
    </row>
    <row r="2" spans="1:6" x14ac:dyDescent="0.35">
      <c r="A2" t="s">
        <v>42</v>
      </c>
      <c r="B2" t="s">
        <v>18</v>
      </c>
      <c r="C2">
        <v>80</v>
      </c>
      <c r="D2">
        <v>8</v>
      </c>
      <c r="E2" s="15">
        <v>5</v>
      </c>
      <c r="F2" s="17">
        <f>Table3[[#This Row],[Peak_hour_Order ]]/Table3[[#This Row],[active_riders]]</f>
        <v>0.625</v>
      </c>
    </row>
    <row r="3" spans="1:6" x14ac:dyDescent="0.35">
      <c r="A3" t="s">
        <v>31</v>
      </c>
      <c r="B3" t="s">
        <v>18</v>
      </c>
      <c r="C3">
        <v>90</v>
      </c>
      <c r="D3">
        <v>7</v>
      </c>
      <c r="E3" s="15">
        <v>5</v>
      </c>
      <c r="F3" s="17">
        <f>Table3[[#This Row],[Peak_hour_Order ]]/Table3[[#This Row],[active_riders]]</f>
        <v>0.7142857142857143</v>
      </c>
    </row>
    <row r="4" spans="1:6" x14ac:dyDescent="0.35">
      <c r="A4" t="s">
        <v>19</v>
      </c>
      <c r="B4" t="s">
        <v>18</v>
      </c>
      <c r="C4">
        <v>75</v>
      </c>
      <c r="D4">
        <v>8</v>
      </c>
      <c r="E4" s="15">
        <v>3</v>
      </c>
      <c r="F4" s="17">
        <f>Table3[[#This Row],[Peak_hour_Order ]]/Table3[[#This Row],[active_riders]]</f>
        <v>0.375</v>
      </c>
    </row>
    <row r="5" spans="1:6" x14ac:dyDescent="0.35">
      <c r="A5" t="s">
        <v>58</v>
      </c>
      <c r="B5" t="s">
        <v>46</v>
      </c>
      <c r="C5">
        <v>70</v>
      </c>
      <c r="D5">
        <v>7</v>
      </c>
      <c r="E5" s="15">
        <v>5</v>
      </c>
      <c r="F5" s="17">
        <f>Table3[[#This Row],[Peak_hour_Order ]]/Table3[[#This Row],[active_riders]]</f>
        <v>0.7142857142857143</v>
      </c>
    </row>
    <row r="6" spans="1:6" x14ac:dyDescent="0.35">
      <c r="A6" t="s">
        <v>47</v>
      </c>
      <c r="B6" t="s">
        <v>46</v>
      </c>
      <c r="C6">
        <v>85</v>
      </c>
      <c r="D6">
        <v>6</v>
      </c>
      <c r="E6" s="15">
        <v>9</v>
      </c>
      <c r="F6" s="17">
        <f>Table3[[#This Row],[Peak_hour_Order ]]/Table3[[#This Row],[active_riders]]</f>
        <v>1.5</v>
      </c>
    </row>
    <row r="7" spans="1:6" x14ac:dyDescent="0.35">
      <c r="A7" t="s">
        <v>50</v>
      </c>
      <c r="B7" t="s">
        <v>23</v>
      </c>
      <c r="C7">
        <v>80</v>
      </c>
      <c r="D7">
        <v>9</v>
      </c>
      <c r="E7" s="15">
        <v>3</v>
      </c>
      <c r="F7" s="17">
        <f>Table3[[#This Row],[Peak_hour_Order ]]/Table3[[#This Row],[active_riders]]</f>
        <v>0.33333333333333331</v>
      </c>
    </row>
    <row r="8" spans="1:6" x14ac:dyDescent="0.35">
      <c r="A8" t="s">
        <v>24</v>
      </c>
      <c r="B8" t="s">
        <v>23</v>
      </c>
      <c r="C8">
        <v>95</v>
      </c>
      <c r="D8">
        <v>7</v>
      </c>
      <c r="E8" s="15">
        <v>6</v>
      </c>
      <c r="F8" s="17">
        <f>Table3[[#This Row],[Peak_hour_Order ]]/Table3[[#This Row],[active_riders]]</f>
        <v>0.8571428571428571</v>
      </c>
    </row>
    <row r="9" spans="1:6" x14ac:dyDescent="0.35">
      <c r="A9" t="s">
        <v>35</v>
      </c>
      <c r="B9" t="s">
        <v>23</v>
      </c>
      <c r="C9">
        <v>75</v>
      </c>
      <c r="D9">
        <v>8</v>
      </c>
      <c r="E9" s="15">
        <v>4</v>
      </c>
      <c r="F9" s="17">
        <f>Table3[[#This Row],[Peak_hour_Order ]]/Table3[[#This Row],[active_riders]]</f>
        <v>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9D70-9C6F-429B-AEB5-E018ED63E5DE}">
  <dimension ref="A1:T230"/>
  <sheetViews>
    <sheetView tabSelected="1" topLeftCell="E41" zoomScale="72" zoomScaleNormal="72" workbookViewId="0">
      <selection activeCell="H41" sqref="H41"/>
    </sheetView>
  </sheetViews>
  <sheetFormatPr defaultRowHeight="14.5" x14ac:dyDescent="0.35"/>
  <cols>
    <col min="1" max="1" width="11.453125" bestFit="1" customWidth="1"/>
    <col min="2" max="2" width="13.7265625" bestFit="1" customWidth="1"/>
    <col min="3" max="3" width="18.6328125" bestFit="1" customWidth="1"/>
    <col min="4" max="4" width="7.81640625" bestFit="1" customWidth="1"/>
    <col min="5" max="5" width="11.08984375" bestFit="1" customWidth="1"/>
    <col min="6" max="6" width="19.1796875" style="17" bestFit="1" customWidth="1"/>
    <col min="7" max="7" width="13.7265625" bestFit="1" customWidth="1"/>
    <col min="8" max="8" width="13.7265625" customWidth="1"/>
    <col min="9" max="9" width="14.7265625" bestFit="1" customWidth="1"/>
    <col min="10" max="10" width="14.453125" bestFit="1" customWidth="1"/>
    <col min="11" max="11" width="19.54296875" bestFit="1" customWidth="1"/>
    <col min="12" max="12" width="20" bestFit="1" customWidth="1"/>
    <col min="13" max="13" width="28.54296875" bestFit="1" customWidth="1"/>
    <col min="14" max="14" width="25.1796875" bestFit="1" customWidth="1"/>
    <col min="15" max="15" width="20.453125" bestFit="1" customWidth="1"/>
    <col min="16" max="16" width="25.7265625" bestFit="1" customWidth="1"/>
    <col min="17" max="17" width="14.90625" bestFit="1" customWidth="1"/>
    <col min="18" max="18" width="10.81640625" bestFit="1" customWidth="1"/>
    <col min="19" max="19" width="15" bestFit="1" customWidth="1"/>
    <col min="20" max="20" width="18.36328125" bestFit="1" customWidth="1"/>
  </cols>
  <sheetData>
    <row r="1" spans="1:20" x14ac:dyDescent="0.35">
      <c r="A1" s="9" t="s">
        <v>0</v>
      </c>
      <c r="B1" s="9" t="s">
        <v>1</v>
      </c>
      <c r="C1" s="9" t="s">
        <v>347</v>
      </c>
      <c r="D1" s="9" t="s">
        <v>2</v>
      </c>
      <c r="E1" s="9" t="s">
        <v>3</v>
      </c>
      <c r="F1" s="18" t="s">
        <v>385</v>
      </c>
      <c r="G1" s="9" t="s">
        <v>4</v>
      </c>
      <c r="H1" s="9" t="s">
        <v>376</v>
      </c>
      <c r="I1" s="9" t="s">
        <v>5</v>
      </c>
      <c r="J1" s="9" t="s">
        <v>6</v>
      </c>
      <c r="K1" s="9" t="s">
        <v>7</v>
      </c>
      <c r="L1" s="9" t="s">
        <v>8</v>
      </c>
      <c r="M1" s="9" t="s">
        <v>9</v>
      </c>
      <c r="N1" s="9" t="s">
        <v>10</v>
      </c>
      <c r="O1" s="9" t="s">
        <v>11</v>
      </c>
      <c r="P1" s="9" t="s">
        <v>12</v>
      </c>
      <c r="Q1" s="9" t="s">
        <v>13</v>
      </c>
      <c r="R1" s="9" t="s">
        <v>14</v>
      </c>
      <c r="S1" s="9" t="s">
        <v>15</v>
      </c>
      <c r="T1" s="9" t="s">
        <v>16</v>
      </c>
    </row>
    <row r="2" spans="1:20" x14ac:dyDescent="0.35">
      <c r="A2" s="3" t="s">
        <v>17</v>
      </c>
      <c r="B2" s="5">
        <v>46222</v>
      </c>
      <c r="C2" s="5">
        <f>Delivered_data[[#This Row],[order_date]]-WEEKDAY(Delivered_data[[#This Row],[order_date]],2)+1</f>
        <v>46216</v>
      </c>
      <c r="D2" s="3" t="s">
        <v>18</v>
      </c>
      <c r="E2" s="3" t="s">
        <v>19</v>
      </c>
      <c r="F2" s="19">
        <f>_xlfn.XLOOKUP(Delivered_data[[#This Row],[store_id]],blinkit_stores!A:A,blinkit_stores!F:F,"not found")</f>
        <v>0.375</v>
      </c>
      <c r="G2" s="6">
        <v>0.30625000000000002</v>
      </c>
      <c r="H2" s="6" t="str">
        <f>IF(AND(Delivered_data[[#This Row],[order_time]]&gt;=TIME(19,0,0),Delivered_data[[#This Row],[order_time]]&lt;=TIME(22,59,59)),"Peak","Non-Peak")</f>
        <v>Non-Peak</v>
      </c>
      <c r="I2" s="3">
        <v>4</v>
      </c>
      <c r="J2" s="3">
        <v>462.38</v>
      </c>
      <c r="K2" s="3">
        <v>2.9</v>
      </c>
      <c r="L2" s="3">
        <v>0.9</v>
      </c>
      <c r="M2" s="3">
        <v>0.69</v>
      </c>
      <c r="N2" s="3">
        <v>0.51</v>
      </c>
      <c r="O2" s="3">
        <v>6.63</v>
      </c>
      <c r="P2" s="3">
        <v>11.63</v>
      </c>
      <c r="Q2" s="3">
        <v>2.74</v>
      </c>
      <c r="R2" s="3" t="s">
        <v>20</v>
      </c>
      <c r="S2" s="3" t="s">
        <v>21</v>
      </c>
      <c r="T2" s="3">
        <v>4.3</v>
      </c>
    </row>
    <row r="3" spans="1:20" x14ac:dyDescent="0.35">
      <c r="A3" s="4" t="s">
        <v>22</v>
      </c>
      <c r="B3" s="7">
        <v>46235</v>
      </c>
      <c r="C3" s="7">
        <f>Delivered_data[[#This Row],[order_date]]-WEEKDAY(Delivered_data[[#This Row],[order_date]],2)+1</f>
        <v>46230</v>
      </c>
      <c r="D3" s="4" t="s">
        <v>23</v>
      </c>
      <c r="E3" s="4" t="s">
        <v>24</v>
      </c>
      <c r="F3" s="20">
        <f>_xlfn.XLOOKUP(Delivered_data[[#This Row],[store_id]],blinkit_stores!A:A,blinkit_stores!F:F,"not found")</f>
        <v>0.8571428571428571</v>
      </c>
      <c r="G3" s="8">
        <v>0.39097222222222222</v>
      </c>
      <c r="H3" s="8" t="str">
        <f>IF(AND(Delivered_data[[#This Row],[order_time]]&gt;=TIME(19,0,0),Delivered_data[[#This Row],[order_time]]&lt;=TIME(22,59,59)),"Peak","Non-Peak")</f>
        <v>Non-Peak</v>
      </c>
      <c r="I3" s="4">
        <v>4</v>
      </c>
      <c r="J3" s="4">
        <v>346.91</v>
      </c>
      <c r="K3" s="4">
        <v>3.07</v>
      </c>
      <c r="L3" s="4">
        <v>0.83</v>
      </c>
      <c r="M3" s="4">
        <v>1.47</v>
      </c>
      <c r="N3" s="4">
        <v>0.78</v>
      </c>
      <c r="O3" s="4">
        <v>4.97</v>
      </c>
      <c r="P3" s="4">
        <v>11.12</v>
      </c>
      <c r="Q3" s="4">
        <v>1.35</v>
      </c>
      <c r="R3" s="4" t="s">
        <v>25</v>
      </c>
      <c r="S3" s="4" t="s">
        <v>21</v>
      </c>
      <c r="T3" s="4">
        <v>5</v>
      </c>
    </row>
    <row r="4" spans="1:20" x14ac:dyDescent="0.35">
      <c r="A4" s="3" t="s">
        <v>26</v>
      </c>
      <c r="B4" s="5">
        <v>46230</v>
      </c>
      <c r="C4" s="5">
        <f>Delivered_data[[#This Row],[order_date]]-WEEKDAY(Delivered_data[[#This Row],[order_date]],2)+1</f>
        <v>46230</v>
      </c>
      <c r="D4" s="3" t="s">
        <v>23</v>
      </c>
      <c r="E4" s="3" t="s">
        <v>24</v>
      </c>
      <c r="F4" s="19">
        <f>_xlfn.XLOOKUP(Delivered_data[[#This Row],[store_id]],blinkit_stores!A:A,blinkit_stores!F:F,"not found")</f>
        <v>0.8571428571428571</v>
      </c>
      <c r="G4" s="6">
        <v>0.89652777777777781</v>
      </c>
      <c r="H4" s="6" t="str">
        <f>IF(AND(Delivered_data[[#This Row],[order_time]]&gt;=TIME(19,0,0),Delivered_data[[#This Row],[order_time]]&lt;=TIME(22,59,59)),"Peak","Non-Peak")</f>
        <v>Peak</v>
      </c>
      <c r="I4" s="3">
        <v>4</v>
      </c>
      <c r="J4" s="3">
        <v>395.51</v>
      </c>
      <c r="K4" s="3">
        <v>2.82</v>
      </c>
      <c r="L4" s="3">
        <v>0.94</v>
      </c>
      <c r="M4" s="3">
        <v>1.1200000000000001</v>
      </c>
      <c r="N4" s="3">
        <v>0.76</v>
      </c>
      <c r="O4" s="3">
        <v>6.66</v>
      </c>
      <c r="P4" s="3">
        <v>12.3</v>
      </c>
      <c r="Q4" s="3">
        <v>2.87</v>
      </c>
      <c r="R4" s="3" t="s">
        <v>27</v>
      </c>
      <c r="S4" s="3" t="s">
        <v>21</v>
      </c>
      <c r="T4" s="3">
        <v>5</v>
      </c>
    </row>
    <row r="5" spans="1:20" x14ac:dyDescent="0.35">
      <c r="A5" s="4" t="s">
        <v>28</v>
      </c>
      <c r="B5" s="7">
        <v>46226</v>
      </c>
      <c r="C5" s="7">
        <f>Delivered_data[[#This Row],[order_date]]-WEEKDAY(Delivered_data[[#This Row],[order_date]],2)+1</f>
        <v>46223</v>
      </c>
      <c r="D5" s="4" t="s">
        <v>23</v>
      </c>
      <c r="E5" s="4" t="s">
        <v>24</v>
      </c>
      <c r="F5" s="20">
        <f>_xlfn.XLOOKUP(Delivered_data[[#This Row],[store_id]],blinkit_stores!A:A,blinkit_stores!F:F,"not found")</f>
        <v>0.8571428571428571</v>
      </c>
      <c r="G5" s="8">
        <v>0.97847222222222219</v>
      </c>
      <c r="H5" s="8" t="str">
        <f>IF(AND(Delivered_data[[#This Row],[order_time]]&gt;=TIME(19,0,0),Delivered_data[[#This Row],[order_time]]&lt;=TIME(22,59,59)),"Peak","Non-Peak")</f>
        <v>Non-Peak</v>
      </c>
      <c r="I5" s="4">
        <v>3</v>
      </c>
      <c r="J5" s="4">
        <v>605.94000000000005</v>
      </c>
      <c r="K5" s="4">
        <v>2.38</v>
      </c>
      <c r="L5" s="4">
        <v>0.75</v>
      </c>
      <c r="M5" s="4">
        <v>1.41</v>
      </c>
      <c r="N5" s="4">
        <v>0.76</v>
      </c>
      <c r="O5" s="4">
        <v>4.62</v>
      </c>
      <c r="P5" s="4">
        <v>9.92</v>
      </c>
      <c r="Q5" s="4">
        <v>0.97</v>
      </c>
      <c r="R5" s="4" t="s">
        <v>29</v>
      </c>
      <c r="S5" s="4" t="s">
        <v>21</v>
      </c>
      <c r="T5" s="4">
        <v>4.3</v>
      </c>
    </row>
    <row r="6" spans="1:20" x14ac:dyDescent="0.35">
      <c r="A6" s="3" t="s">
        <v>30</v>
      </c>
      <c r="B6" s="5">
        <v>46223</v>
      </c>
      <c r="C6" s="5">
        <f>Delivered_data[[#This Row],[order_date]]-WEEKDAY(Delivered_data[[#This Row],[order_date]],2)+1</f>
        <v>46223</v>
      </c>
      <c r="D6" s="3" t="s">
        <v>18</v>
      </c>
      <c r="E6" s="3" t="s">
        <v>31</v>
      </c>
      <c r="F6" s="19">
        <f>_xlfn.XLOOKUP(Delivered_data[[#This Row],[store_id]],blinkit_stores!A:A,blinkit_stores!F:F,"not found")</f>
        <v>0.7142857142857143</v>
      </c>
      <c r="G6" s="6">
        <v>0.97916666666666663</v>
      </c>
      <c r="H6" s="6" t="str">
        <f>IF(AND(Delivered_data[[#This Row],[order_time]]&gt;=TIME(19,0,0),Delivered_data[[#This Row],[order_time]]&lt;=TIME(22,59,59)),"Peak","Non-Peak")</f>
        <v>Non-Peak</v>
      </c>
      <c r="I6" s="3">
        <v>8</v>
      </c>
      <c r="J6" s="3">
        <v>800.58</v>
      </c>
      <c r="K6" s="3">
        <v>3.8</v>
      </c>
      <c r="L6" s="3">
        <v>1.24</v>
      </c>
      <c r="M6" s="3">
        <v>0.72</v>
      </c>
      <c r="N6" s="3">
        <v>0.77</v>
      </c>
      <c r="O6" s="3">
        <v>7.06</v>
      </c>
      <c r="P6" s="3">
        <v>13.59</v>
      </c>
      <c r="Q6" s="3">
        <v>2.96</v>
      </c>
      <c r="R6" s="3" t="s">
        <v>20</v>
      </c>
      <c r="S6" s="3" t="s">
        <v>21</v>
      </c>
      <c r="T6" s="3">
        <v>5</v>
      </c>
    </row>
    <row r="7" spans="1:20" x14ac:dyDescent="0.35">
      <c r="A7" s="4" t="s">
        <v>32</v>
      </c>
      <c r="B7" s="7">
        <v>46236</v>
      </c>
      <c r="C7" s="7">
        <f>Delivered_data[[#This Row],[order_date]]-WEEKDAY(Delivered_data[[#This Row],[order_date]],2)+1</f>
        <v>46230</v>
      </c>
      <c r="D7" s="4" t="s">
        <v>23</v>
      </c>
      <c r="E7" s="4" t="s">
        <v>24</v>
      </c>
      <c r="F7" s="20">
        <f>_xlfn.XLOOKUP(Delivered_data[[#This Row],[store_id]],blinkit_stores!A:A,blinkit_stores!F:F,"not found")</f>
        <v>0.8571428571428571</v>
      </c>
      <c r="G7" s="8">
        <v>0.78888888888888886</v>
      </c>
      <c r="H7" s="8" t="str">
        <f>IF(AND(Delivered_data[[#This Row],[order_time]]&gt;=TIME(19,0,0),Delivered_data[[#This Row],[order_time]]&lt;=TIME(22,59,59)),"Peak","Non-Peak")</f>
        <v>Non-Peak</v>
      </c>
      <c r="I7" s="4">
        <v>6</v>
      </c>
      <c r="J7" s="4">
        <v>571.04</v>
      </c>
      <c r="K7" s="4">
        <v>3.78</v>
      </c>
      <c r="L7" s="4">
        <v>1.03</v>
      </c>
      <c r="M7" s="4">
        <v>0.9</v>
      </c>
      <c r="N7" s="4">
        <v>0.78</v>
      </c>
      <c r="O7" s="4">
        <v>3.77</v>
      </c>
      <c r="P7" s="4">
        <v>10.26</v>
      </c>
      <c r="Q7" s="4">
        <v>1.0900000000000001</v>
      </c>
      <c r="R7" s="4" t="s">
        <v>33</v>
      </c>
      <c r="S7" s="4" t="s">
        <v>21</v>
      </c>
      <c r="T7" s="4">
        <v>5</v>
      </c>
    </row>
    <row r="8" spans="1:20" x14ac:dyDescent="0.35">
      <c r="A8" s="3" t="s">
        <v>34</v>
      </c>
      <c r="B8" s="5">
        <v>46222</v>
      </c>
      <c r="C8" s="5">
        <f>Delivered_data[[#This Row],[order_date]]-WEEKDAY(Delivered_data[[#This Row],[order_date]],2)+1</f>
        <v>46216</v>
      </c>
      <c r="D8" s="3" t="s">
        <v>23</v>
      </c>
      <c r="E8" s="3" t="s">
        <v>35</v>
      </c>
      <c r="F8" s="19">
        <f>_xlfn.XLOOKUP(Delivered_data[[#This Row],[store_id]],blinkit_stores!A:A,blinkit_stores!F:F,"not found")</f>
        <v>0.5</v>
      </c>
      <c r="G8" s="6">
        <v>0.66041666666666665</v>
      </c>
      <c r="H8" s="6" t="str">
        <f>IF(AND(Delivered_data[[#This Row],[order_time]]&gt;=TIME(19,0,0),Delivered_data[[#This Row],[order_time]]&lt;=TIME(22,59,59)),"Peak","Non-Peak")</f>
        <v>Non-Peak</v>
      </c>
      <c r="I8" s="3">
        <v>4</v>
      </c>
      <c r="J8" s="3">
        <v>284.74</v>
      </c>
      <c r="K8" s="3">
        <v>2.63</v>
      </c>
      <c r="L8" s="3">
        <v>1.01</v>
      </c>
      <c r="M8" s="3">
        <v>0.95</v>
      </c>
      <c r="N8" s="3">
        <v>0.75</v>
      </c>
      <c r="O8" s="3">
        <v>6.64</v>
      </c>
      <c r="P8" s="3">
        <v>11.98</v>
      </c>
      <c r="Q8" s="3">
        <v>2.7</v>
      </c>
      <c r="R8" s="3" t="s">
        <v>36</v>
      </c>
      <c r="S8" s="3" t="s">
        <v>21</v>
      </c>
      <c r="T8" s="3">
        <v>5</v>
      </c>
    </row>
    <row r="9" spans="1:20" x14ac:dyDescent="0.35">
      <c r="A9" s="4" t="s">
        <v>37</v>
      </c>
      <c r="B9" s="7">
        <v>46241</v>
      </c>
      <c r="C9" s="7">
        <f>Delivered_data[[#This Row],[order_date]]-WEEKDAY(Delivered_data[[#This Row],[order_date]],2)+1</f>
        <v>46237</v>
      </c>
      <c r="D9" s="4" t="s">
        <v>23</v>
      </c>
      <c r="E9" s="4" t="s">
        <v>35</v>
      </c>
      <c r="F9" s="20">
        <f>_xlfn.XLOOKUP(Delivered_data[[#This Row],[store_id]],blinkit_stores!A:A,blinkit_stores!F:F,"not found")</f>
        <v>0.5</v>
      </c>
      <c r="G9" s="8">
        <v>0.76666666666666672</v>
      </c>
      <c r="H9" s="8" t="str">
        <f>IF(AND(Delivered_data[[#This Row],[order_time]]&gt;=TIME(19,0,0),Delivered_data[[#This Row],[order_time]]&lt;=TIME(22,59,59)),"Peak","Non-Peak")</f>
        <v>Non-Peak</v>
      </c>
      <c r="I9" s="4">
        <v>6</v>
      </c>
      <c r="J9" s="4">
        <v>580.03</v>
      </c>
      <c r="K9" s="4">
        <v>2.78</v>
      </c>
      <c r="L9" s="4">
        <v>1.02</v>
      </c>
      <c r="M9" s="4">
        <v>1.67</v>
      </c>
      <c r="N9" s="4">
        <v>0.85</v>
      </c>
      <c r="O9" s="4">
        <v>7.67</v>
      </c>
      <c r="P9" s="4">
        <v>13.99</v>
      </c>
      <c r="Q9" s="4">
        <v>2.76</v>
      </c>
      <c r="R9" s="4" t="s">
        <v>38</v>
      </c>
      <c r="S9" s="4" t="s">
        <v>21</v>
      </c>
      <c r="T9" s="4">
        <v>3.9</v>
      </c>
    </row>
    <row r="10" spans="1:20" x14ac:dyDescent="0.35">
      <c r="A10" s="3" t="s">
        <v>39</v>
      </c>
      <c r="B10" s="5">
        <v>46234</v>
      </c>
      <c r="C10" s="5">
        <f>Delivered_data[[#This Row],[order_date]]-WEEKDAY(Delivered_data[[#This Row],[order_date]],2)+1</f>
        <v>46230</v>
      </c>
      <c r="D10" s="3" t="s">
        <v>23</v>
      </c>
      <c r="E10" s="3" t="s">
        <v>24</v>
      </c>
      <c r="F10" s="19">
        <f>_xlfn.XLOOKUP(Delivered_data[[#This Row],[store_id]],blinkit_stores!A:A,blinkit_stores!F:F,"not found")</f>
        <v>0.8571428571428571</v>
      </c>
      <c r="G10" s="6">
        <v>0.48472222222222222</v>
      </c>
      <c r="H10" s="6" t="str">
        <f>IF(AND(Delivered_data[[#This Row],[order_time]]&gt;=TIME(19,0,0),Delivered_data[[#This Row],[order_time]]&lt;=TIME(22,59,59)),"Peak","Non-Peak")</f>
        <v>Non-Peak</v>
      </c>
      <c r="I10" s="3">
        <v>4</v>
      </c>
      <c r="J10" s="3">
        <v>715.39</v>
      </c>
      <c r="K10" s="3">
        <v>3.07</v>
      </c>
      <c r="L10" s="3">
        <v>0.66</v>
      </c>
      <c r="M10" s="3">
        <v>0.43</v>
      </c>
      <c r="N10" s="3">
        <v>0.89</v>
      </c>
      <c r="O10" s="3">
        <v>4.84</v>
      </c>
      <c r="P10" s="3">
        <v>9.89</v>
      </c>
      <c r="Q10" s="3">
        <v>1.57</v>
      </c>
      <c r="R10" s="3" t="s">
        <v>40</v>
      </c>
      <c r="S10" s="3" t="s">
        <v>21</v>
      </c>
      <c r="T10" s="3">
        <v>4.4000000000000004</v>
      </c>
    </row>
    <row r="11" spans="1:20" x14ac:dyDescent="0.35">
      <c r="A11" s="4" t="s">
        <v>41</v>
      </c>
      <c r="B11" s="7">
        <v>46238</v>
      </c>
      <c r="C11" s="7">
        <f>Delivered_data[[#This Row],[order_date]]-WEEKDAY(Delivered_data[[#This Row],[order_date]],2)+1</f>
        <v>46237</v>
      </c>
      <c r="D11" s="4" t="s">
        <v>18</v>
      </c>
      <c r="E11" s="4" t="s">
        <v>42</v>
      </c>
      <c r="F11" s="20">
        <f>_xlfn.XLOOKUP(Delivered_data[[#This Row],[store_id]],blinkit_stores!A:A,blinkit_stores!F:F,"not found")</f>
        <v>0.625</v>
      </c>
      <c r="G11" s="8">
        <v>7.7777777777777779E-2</v>
      </c>
      <c r="H11" s="8" t="str">
        <f>IF(AND(Delivered_data[[#This Row],[order_time]]&gt;=TIME(19,0,0),Delivered_data[[#This Row],[order_time]]&lt;=TIME(22,59,59)),"Peak","Non-Peak")</f>
        <v>Non-Peak</v>
      </c>
      <c r="I11" s="4">
        <v>7</v>
      </c>
      <c r="J11" s="4">
        <v>390.24</v>
      </c>
      <c r="K11" s="4">
        <v>3.3</v>
      </c>
      <c r="L11" s="4">
        <v>1.26</v>
      </c>
      <c r="M11" s="4">
        <v>1.27</v>
      </c>
      <c r="N11" s="4">
        <v>0.73</v>
      </c>
      <c r="O11" s="4">
        <v>7.11</v>
      </c>
      <c r="P11" s="4">
        <v>13.67</v>
      </c>
      <c r="Q11" s="4">
        <v>2.72</v>
      </c>
      <c r="R11" s="4" t="s">
        <v>25</v>
      </c>
      <c r="S11" s="4" t="s">
        <v>21</v>
      </c>
      <c r="T11" s="4">
        <v>4.5</v>
      </c>
    </row>
    <row r="12" spans="1:20" x14ac:dyDescent="0.35">
      <c r="A12" s="3" t="s">
        <v>43</v>
      </c>
      <c r="B12" s="5">
        <v>46226</v>
      </c>
      <c r="C12" s="5">
        <f>Delivered_data[[#This Row],[order_date]]-WEEKDAY(Delivered_data[[#This Row],[order_date]],2)+1</f>
        <v>46223</v>
      </c>
      <c r="D12" s="3" t="s">
        <v>23</v>
      </c>
      <c r="E12" s="3" t="s">
        <v>24</v>
      </c>
      <c r="F12" s="19">
        <f>_xlfn.XLOOKUP(Delivered_data[[#This Row],[store_id]],blinkit_stores!A:A,blinkit_stores!F:F,"not found")</f>
        <v>0.8571428571428571</v>
      </c>
      <c r="G12" s="6">
        <v>6.9444444444444447E-4</v>
      </c>
      <c r="H12" s="6" t="str">
        <f>IF(AND(Delivered_data[[#This Row],[order_time]]&gt;=TIME(19,0,0),Delivered_data[[#This Row],[order_time]]&lt;=TIME(22,59,59)),"Peak","Non-Peak")</f>
        <v>Non-Peak</v>
      </c>
      <c r="I12" s="3">
        <v>5</v>
      </c>
      <c r="J12" s="3">
        <v>475.88</v>
      </c>
      <c r="K12" s="3">
        <v>2.14</v>
      </c>
      <c r="L12" s="3">
        <v>0.84</v>
      </c>
      <c r="M12" s="3">
        <v>1.58</v>
      </c>
      <c r="N12" s="3">
        <v>0.67</v>
      </c>
      <c r="O12" s="3">
        <v>6.06</v>
      </c>
      <c r="P12" s="3">
        <v>11.29</v>
      </c>
      <c r="Q12" s="3">
        <v>2.4300000000000002</v>
      </c>
      <c r="R12" s="3" t="s">
        <v>44</v>
      </c>
      <c r="S12" s="3" t="s">
        <v>21</v>
      </c>
      <c r="T12" s="3">
        <v>5</v>
      </c>
    </row>
    <row r="13" spans="1:20" x14ac:dyDescent="0.35">
      <c r="A13" s="4" t="s">
        <v>45</v>
      </c>
      <c r="B13" s="7">
        <v>46226</v>
      </c>
      <c r="C13" s="7">
        <f>Delivered_data[[#This Row],[order_date]]-WEEKDAY(Delivered_data[[#This Row],[order_date]],2)+1</f>
        <v>46223</v>
      </c>
      <c r="D13" s="4" t="s">
        <v>46</v>
      </c>
      <c r="E13" s="4" t="s">
        <v>47</v>
      </c>
      <c r="F13" s="20">
        <f>_xlfn.XLOOKUP(Delivered_data[[#This Row],[store_id]],blinkit_stores!A:A,blinkit_stores!F:F,"not found")</f>
        <v>1.5</v>
      </c>
      <c r="G13" s="8">
        <v>0.44513888888888886</v>
      </c>
      <c r="H13" s="8" t="str">
        <f>IF(AND(Delivered_data[[#This Row],[order_time]]&gt;=TIME(19,0,0),Delivered_data[[#This Row],[order_time]]&lt;=TIME(22,59,59)),"Peak","Non-Peak")</f>
        <v>Non-Peak</v>
      </c>
      <c r="I13" s="4">
        <v>6</v>
      </c>
      <c r="J13" s="4">
        <v>502.64</v>
      </c>
      <c r="K13" s="4">
        <v>3.42</v>
      </c>
      <c r="L13" s="4">
        <v>0.95</v>
      </c>
      <c r="M13" s="4">
        <v>0.39</v>
      </c>
      <c r="N13" s="4">
        <v>0.64</v>
      </c>
      <c r="O13" s="4">
        <v>5.78</v>
      </c>
      <c r="P13" s="4">
        <v>11.18</v>
      </c>
      <c r="Q13" s="4">
        <v>1.72</v>
      </c>
      <c r="R13" s="4" t="s">
        <v>48</v>
      </c>
      <c r="S13" s="4" t="s">
        <v>21</v>
      </c>
      <c r="T13" s="4">
        <v>5</v>
      </c>
    </row>
    <row r="14" spans="1:20" x14ac:dyDescent="0.35">
      <c r="A14" s="3" t="s">
        <v>49</v>
      </c>
      <c r="B14" s="5">
        <v>46239</v>
      </c>
      <c r="C14" s="5">
        <f>Delivered_data[[#This Row],[order_date]]-WEEKDAY(Delivered_data[[#This Row],[order_date]],2)+1</f>
        <v>46237</v>
      </c>
      <c r="D14" s="3" t="s">
        <v>23</v>
      </c>
      <c r="E14" s="3" t="s">
        <v>50</v>
      </c>
      <c r="F14" s="19">
        <f>_xlfn.XLOOKUP(Delivered_data[[#This Row],[store_id]],blinkit_stores!A:A,blinkit_stores!F:F,"not found")</f>
        <v>0.33333333333333331</v>
      </c>
      <c r="G14" s="6">
        <v>0.15208333333333332</v>
      </c>
      <c r="H14" s="6" t="str">
        <f>IF(AND(Delivered_data[[#This Row],[order_time]]&gt;=TIME(19,0,0),Delivered_data[[#This Row],[order_time]]&lt;=TIME(22,59,59)),"Peak","Non-Peak")</f>
        <v>Non-Peak</v>
      </c>
      <c r="I14" s="3">
        <v>6</v>
      </c>
      <c r="J14" s="3">
        <v>358.72</v>
      </c>
      <c r="K14" s="3">
        <v>2.93</v>
      </c>
      <c r="L14" s="3">
        <v>0.96</v>
      </c>
      <c r="M14" s="3">
        <v>1.18</v>
      </c>
      <c r="N14" s="3">
        <v>0.95</v>
      </c>
      <c r="O14" s="3">
        <v>5.08</v>
      </c>
      <c r="P14" s="3">
        <v>11.1</v>
      </c>
      <c r="Q14" s="3">
        <v>1.29</v>
      </c>
      <c r="R14" s="3" t="s">
        <v>51</v>
      </c>
      <c r="S14" s="3" t="s">
        <v>21</v>
      </c>
      <c r="T14" s="3">
        <v>5</v>
      </c>
    </row>
    <row r="15" spans="1:20" x14ac:dyDescent="0.35">
      <c r="A15" s="4" t="s">
        <v>52</v>
      </c>
      <c r="B15" s="7">
        <v>46236</v>
      </c>
      <c r="C15" s="7">
        <f>Delivered_data[[#This Row],[order_date]]-WEEKDAY(Delivered_data[[#This Row],[order_date]],2)+1</f>
        <v>46230</v>
      </c>
      <c r="D15" s="4" t="s">
        <v>23</v>
      </c>
      <c r="E15" s="4" t="s">
        <v>24</v>
      </c>
      <c r="F15" s="20">
        <f>_xlfn.XLOOKUP(Delivered_data[[#This Row],[store_id]],blinkit_stores!A:A,blinkit_stores!F:F,"not found")</f>
        <v>0.8571428571428571</v>
      </c>
      <c r="G15" s="8">
        <v>0.59305555555555556</v>
      </c>
      <c r="H15" s="8" t="str">
        <f>IF(AND(Delivered_data[[#This Row],[order_time]]&gt;=TIME(19,0,0),Delivered_data[[#This Row],[order_time]]&lt;=TIME(22,59,59)),"Peak","Non-Peak")</f>
        <v>Non-Peak</v>
      </c>
      <c r="I15" s="4">
        <v>5</v>
      </c>
      <c r="J15" s="4">
        <v>616.69000000000005</v>
      </c>
      <c r="K15" s="4">
        <v>2.87</v>
      </c>
      <c r="L15" s="4">
        <v>1.1100000000000001</v>
      </c>
      <c r="M15" s="4">
        <v>0.76</v>
      </c>
      <c r="N15" s="4">
        <v>0.72</v>
      </c>
      <c r="O15" s="4">
        <v>4.38</v>
      </c>
      <c r="P15" s="4">
        <v>9.84</v>
      </c>
      <c r="Q15" s="4">
        <v>0.43</v>
      </c>
      <c r="R15" s="4" t="s">
        <v>53</v>
      </c>
      <c r="S15" s="4" t="s">
        <v>21</v>
      </c>
      <c r="T15" s="4">
        <v>4.9000000000000004</v>
      </c>
    </row>
    <row r="16" spans="1:20" x14ac:dyDescent="0.35">
      <c r="A16" s="3" t="s">
        <v>54</v>
      </c>
      <c r="B16" s="5">
        <v>46219</v>
      </c>
      <c r="C16" s="5">
        <f>Delivered_data[[#This Row],[order_date]]-WEEKDAY(Delivered_data[[#This Row],[order_date]],2)+1</f>
        <v>46216</v>
      </c>
      <c r="D16" s="3" t="s">
        <v>23</v>
      </c>
      <c r="E16" s="3" t="s">
        <v>24</v>
      </c>
      <c r="F16" s="19">
        <f>_xlfn.XLOOKUP(Delivered_data[[#This Row],[store_id]],blinkit_stores!A:A,blinkit_stores!F:F,"not found")</f>
        <v>0.8571428571428571</v>
      </c>
      <c r="G16" s="6">
        <v>0.8666666666666667</v>
      </c>
      <c r="H16" s="6" t="str">
        <f>IF(AND(Delivered_data[[#This Row],[order_time]]&gt;=TIME(19,0,0),Delivered_data[[#This Row],[order_time]]&lt;=TIME(22,59,59)),"Peak","Non-Peak")</f>
        <v>Peak</v>
      </c>
      <c r="I16" s="3">
        <v>3</v>
      </c>
      <c r="J16" s="3">
        <v>478.23</v>
      </c>
      <c r="K16" s="3">
        <v>2.58</v>
      </c>
      <c r="L16" s="3">
        <v>0.53</v>
      </c>
      <c r="M16" s="3">
        <v>1.8</v>
      </c>
      <c r="N16" s="3">
        <v>0.78</v>
      </c>
      <c r="O16" s="3">
        <v>7.23</v>
      </c>
      <c r="P16" s="3">
        <v>12.92</v>
      </c>
      <c r="Q16" s="3">
        <v>2.76</v>
      </c>
      <c r="R16" s="3" t="s">
        <v>44</v>
      </c>
      <c r="S16" s="3" t="s">
        <v>21</v>
      </c>
      <c r="T16" s="3">
        <v>4.2</v>
      </c>
    </row>
    <row r="17" spans="1:20" x14ac:dyDescent="0.35">
      <c r="A17" s="4" t="s">
        <v>55</v>
      </c>
      <c r="B17" s="7">
        <v>46223</v>
      </c>
      <c r="C17" s="7">
        <f>Delivered_data[[#This Row],[order_date]]-WEEKDAY(Delivered_data[[#This Row],[order_date]],2)+1</f>
        <v>46223</v>
      </c>
      <c r="D17" s="4" t="s">
        <v>23</v>
      </c>
      <c r="E17" s="4" t="s">
        <v>35</v>
      </c>
      <c r="F17" s="20">
        <f>_xlfn.XLOOKUP(Delivered_data[[#This Row],[store_id]],blinkit_stores!A:A,blinkit_stores!F:F,"not found")</f>
        <v>0.5</v>
      </c>
      <c r="G17" s="8">
        <v>0.26666666666666666</v>
      </c>
      <c r="H17" s="8" t="str">
        <f>IF(AND(Delivered_data[[#This Row],[order_time]]&gt;=TIME(19,0,0),Delivered_data[[#This Row],[order_time]]&lt;=TIME(22,59,59)),"Peak","Non-Peak")</f>
        <v>Non-Peak</v>
      </c>
      <c r="I17" s="4">
        <v>6</v>
      </c>
      <c r="J17" s="4">
        <v>575.52</v>
      </c>
      <c r="K17" s="4">
        <v>3.19</v>
      </c>
      <c r="L17" s="4">
        <v>1.41</v>
      </c>
      <c r="M17" s="4">
        <v>1.23</v>
      </c>
      <c r="N17" s="4">
        <v>0.82</v>
      </c>
      <c r="O17" s="4">
        <v>4.29</v>
      </c>
      <c r="P17" s="4">
        <v>10.94</v>
      </c>
      <c r="Q17" s="4">
        <v>0.79</v>
      </c>
      <c r="R17" s="4" t="s">
        <v>56</v>
      </c>
      <c r="S17" s="4" t="s">
        <v>21</v>
      </c>
      <c r="T17" s="4">
        <v>5</v>
      </c>
    </row>
    <row r="18" spans="1:20" x14ac:dyDescent="0.35">
      <c r="A18" s="3" t="s">
        <v>57</v>
      </c>
      <c r="B18" s="5">
        <v>46239</v>
      </c>
      <c r="C18" s="5">
        <f>Delivered_data[[#This Row],[order_date]]-WEEKDAY(Delivered_data[[#This Row],[order_date]],2)+1</f>
        <v>46237</v>
      </c>
      <c r="D18" s="3" t="s">
        <v>46</v>
      </c>
      <c r="E18" s="3" t="s">
        <v>58</v>
      </c>
      <c r="F18" s="19">
        <f>_xlfn.XLOOKUP(Delivered_data[[#This Row],[store_id]],blinkit_stores!A:A,blinkit_stores!F:F,"not found")</f>
        <v>0.7142857142857143</v>
      </c>
      <c r="G18" s="6">
        <v>0.99027777777777781</v>
      </c>
      <c r="H18" s="6" t="str">
        <f>IF(AND(Delivered_data[[#This Row],[order_time]]&gt;=TIME(19,0,0),Delivered_data[[#This Row],[order_time]]&lt;=TIME(22,59,59)),"Peak","Non-Peak")</f>
        <v>Non-Peak</v>
      </c>
      <c r="I18" s="3">
        <v>5</v>
      </c>
      <c r="J18" s="3">
        <v>340.25</v>
      </c>
      <c r="K18" s="3">
        <v>3.15</v>
      </c>
      <c r="L18" s="3">
        <v>1.08</v>
      </c>
      <c r="M18" s="3">
        <v>0.89</v>
      </c>
      <c r="N18" s="3">
        <v>0.83</v>
      </c>
      <c r="O18" s="3">
        <v>6.3</v>
      </c>
      <c r="P18" s="3">
        <v>12.25</v>
      </c>
      <c r="Q18" s="3">
        <v>2.29</v>
      </c>
      <c r="R18" s="3" t="s">
        <v>59</v>
      </c>
      <c r="S18" s="3" t="s">
        <v>21</v>
      </c>
      <c r="T18" s="3">
        <v>4.3</v>
      </c>
    </row>
    <row r="19" spans="1:20" x14ac:dyDescent="0.35">
      <c r="A19" s="4" t="s">
        <v>60</v>
      </c>
      <c r="B19" s="7">
        <v>46218</v>
      </c>
      <c r="C19" s="7">
        <f>Delivered_data[[#This Row],[order_date]]-WEEKDAY(Delivered_data[[#This Row],[order_date]],2)+1</f>
        <v>46216</v>
      </c>
      <c r="D19" s="4" t="s">
        <v>18</v>
      </c>
      <c r="E19" s="4" t="s">
        <v>42</v>
      </c>
      <c r="F19" s="20">
        <f>_xlfn.XLOOKUP(Delivered_data[[#This Row],[store_id]],blinkit_stores!A:A,blinkit_stores!F:F,"not found")</f>
        <v>0.625</v>
      </c>
      <c r="G19" s="8">
        <v>0.80069444444444449</v>
      </c>
      <c r="H19" s="8" t="str">
        <f>IF(AND(Delivered_data[[#This Row],[order_time]]&gt;=TIME(19,0,0),Delivered_data[[#This Row],[order_time]]&lt;=TIME(22,59,59)),"Peak","Non-Peak")</f>
        <v>Peak</v>
      </c>
      <c r="I19" s="4">
        <v>7</v>
      </c>
      <c r="J19" s="4">
        <v>421.26</v>
      </c>
      <c r="K19" s="4">
        <v>3.19</v>
      </c>
      <c r="L19" s="4">
        <v>1.1399999999999999</v>
      </c>
      <c r="M19" s="4">
        <v>1.82</v>
      </c>
      <c r="N19" s="4">
        <v>0.51</v>
      </c>
      <c r="O19" s="4">
        <v>7.19</v>
      </c>
      <c r="P19" s="4">
        <v>13.85</v>
      </c>
      <c r="Q19" s="4">
        <v>2.21</v>
      </c>
      <c r="R19" s="4" t="s">
        <v>61</v>
      </c>
      <c r="S19" s="4" t="s">
        <v>21</v>
      </c>
      <c r="T19" s="4">
        <v>5</v>
      </c>
    </row>
    <row r="20" spans="1:20" x14ac:dyDescent="0.35">
      <c r="A20" s="3" t="s">
        <v>62</v>
      </c>
      <c r="B20" s="5">
        <v>46237</v>
      </c>
      <c r="C20" s="5">
        <f>Delivered_data[[#This Row],[order_date]]-WEEKDAY(Delivered_data[[#This Row],[order_date]],2)+1</f>
        <v>46237</v>
      </c>
      <c r="D20" s="3" t="s">
        <v>18</v>
      </c>
      <c r="E20" s="3" t="s">
        <v>19</v>
      </c>
      <c r="F20" s="19">
        <f>_xlfn.XLOOKUP(Delivered_data[[#This Row],[store_id]],blinkit_stores!A:A,blinkit_stores!F:F,"not found")</f>
        <v>0.375</v>
      </c>
      <c r="G20" s="6">
        <v>0.74722222222222223</v>
      </c>
      <c r="H20" s="6" t="str">
        <f>IF(AND(Delivered_data[[#This Row],[order_time]]&gt;=TIME(19,0,0),Delivered_data[[#This Row],[order_time]]&lt;=TIME(22,59,59)),"Peak","Non-Peak")</f>
        <v>Non-Peak</v>
      </c>
      <c r="I20" s="3">
        <v>5</v>
      </c>
      <c r="J20" s="3">
        <v>630.03</v>
      </c>
      <c r="K20" s="3">
        <v>3.08</v>
      </c>
      <c r="L20" s="3">
        <v>0.94</v>
      </c>
      <c r="M20" s="3">
        <v>1.74</v>
      </c>
      <c r="N20" s="3">
        <v>1.22</v>
      </c>
      <c r="O20" s="3">
        <v>6.66</v>
      </c>
      <c r="P20" s="3">
        <v>13.64</v>
      </c>
      <c r="Q20" s="3">
        <v>2.81</v>
      </c>
      <c r="R20" s="3" t="s">
        <v>63</v>
      </c>
      <c r="S20" s="3" t="s">
        <v>21</v>
      </c>
      <c r="T20" s="3">
        <v>4.4000000000000004</v>
      </c>
    </row>
    <row r="21" spans="1:20" x14ac:dyDescent="0.35">
      <c r="A21" s="4" t="s">
        <v>64</v>
      </c>
      <c r="B21" s="7">
        <v>46236</v>
      </c>
      <c r="C21" s="7">
        <f>Delivered_data[[#This Row],[order_date]]-WEEKDAY(Delivered_data[[#This Row],[order_date]],2)+1</f>
        <v>46230</v>
      </c>
      <c r="D21" s="4" t="s">
        <v>18</v>
      </c>
      <c r="E21" s="4" t="s">
        <v>19</v>
      </c>
      <c r="F21" s="20">
        <f>_xlfn.XLOOKUP(Delivered_data[[#This Row],[store_id]],blinkit_stores!A:A,blinkit_stores!F:F,"not found")</f>
        <v>0.375</v>
      </c>
      <c r="G21" s="8">
        <v>0.50624999999999998</v>
      </c>
      <c r="H21" s="8" t="str">
        <f>IF(AND(Delivered_data[[#This Row],[order_time]]&gt;=TIME(19,0,0),Delivered_data[[#This Row],[order_time]]&lt;=TIME(22,59,59)),"Peak","Non-Peak")</f>
        <v>Non-Peak</v>
      </c>
      <c r="I21" s="4">
        <v>6</v>
      </c>
      <c r="J21" s="4">
        <v>432.89</v>
      </c>
      <c r="K21" s="4">
        <v>3.03</v>
      </c>
      <c r="L21" s="4">
        <v>1.06</v>
      </c>
      <c r="M21" s="4">
        <v>0.92</v>
      </c>
      <c r="N21" s="4">
        <v>1.04</v>
      </c>
      <c r="O21" s="4">
        <v>6.1</v>
      </c>
      <c r="P21" s="4">
        <v>12.15</v>
      </c>
      <c r="Q21" s="4">
        <v>1.93</v>
      </c>
      <c r="R21" s="4" t="s">
        <v>65</v>
      </c>
      <c r="S21" s="4" t="s">
        <v>21</v>
      </c>
      <c r="T21" s="4">
        <v>5</v>
      </c>
    </row>
    <row r="22" spans="1:20" x14ac:dyDescent="0.35">
      <c r="A22" s="3" t="s">
        <v>66</v>
      </c>
      <c r="B22" s="5">
        <v>46217</v>
      </c>
      <c r="C22" s="5">
        <f>Delivered_data[[#This Row],[order_date]]-WEEKDAY(Delivered_data[[#This Row],[order_date]],2)+1</f>
        <v>46216</v>
      </c>
      <c r="D22" s="3" t="s">
        <v>23</v>
      </c>
      <c r="E22" s="3" t="s">
        <v>35</v>
      </c>
      <c r="F22" s="19">
        <f>_xlfn.XLOOKUP(Delivered_data[[#This Row],[store_id]],blinkit_stores!A:A,blinkit_stores!F:F,"not found")</f>
        <v>0.5</v>
      </c>
      <c r="G22" s="6">
        <v>0.99930555555555556</v>
      </c>
      <c r="H22" s="6" t="str">
        <f>IF(AND(Delivered_data[[#This Row],[order_time]]&gt;=TIME(19,0,0),Delivered_data[[#This Row],[order_time]]&lt;=TIME(22,59,59)),"Peak","Non-Peak")</f>
        <v>Non-Peak</v>
      </c>
      <c r="I22" s="3">
        <v>1</v>
      </c>
      <c r="J22" s="3">
        <v>810.85</v>
      </c>
      <c r="K22" s="3">
        <v>2.2799999999999998</v>
      </c>
      <c r="L22" s="3">
        <v>0.69</v>
      </c>
      <c r="M22" s="3">
        <v>1.35</v>
      </c>
      <c r="N22" s="3">
        <v>0.32</v>
      </c>
      <c r="O22" s="3">
        <v>5.54</v>
      </c>
      <c r="P22" s="3">
        <v>10.18</v>
      </c>
      <c r="Q22" s="3">
        <v>1.9</v>
      </c>
      <c r="R22" s="3" t="s">
        <v>67</v>
      </c>
      <c r="S22" s="3" t="s">
        <v>21</v>
      </c>
      <c r="T22" s="3">
        <v>5</v>
      </c>
    </row>
    <row r="23" spans="1:20" x14ac:dyDescent="0.35">
      <c r="A23" s="4" t="s">
        <v>68</v>
      </c>
      <c r="B23" s="7">
        <v>46239</v>
      </c>
      <c r="C23" s="7">
        <f>Delivered_data[[#This Row],[order_date]]-WEEKDAY(Delivered_data[[#This Row],[order_date]],2)+1</f>
        <v>46237</v>
      </c>
      <c r="D23" s="4" t="s">
        <v>18</v>
      </c>
      <c r="E23" s="4" t="s">
        <v>19</v>
      </c>
      <c r="F23" s="20">
        <f>_xlfn.XLOOKUP(Delivered_data[[#This Row],[store_id]],blinkit_stores!A:A,blinkit_stores!F:F,"not found")</f>
        <v>0.375</v>
      </c>
      <c r="G23" s="8">
        <v>0.17083333333333334</v>
      </c>
      <c r="H23" s="8" t="str">
        <f>IF(AND(Delivered_data[[#This Row],[order_time]]&gt;=TIME(19,0,0),Delivered_data[[#This Row],[order_time]]&lt;=TIME(22,59,59)),"Peak","Non-Peak")</f>
        <v>Non-Peak</v>
      </c>
      <c r="I23" s="4">
        <v>9</v>
      </c>
      <c r="J23" s="4">
        <v>428.07</v>
      </c>
      <c r="K23" s="4">
        <v>4</v>
      </c>
      <c r="L23" s="4">
        <v>1.35</v>
      </c>
      <c r="M23" s="4">
        <v>0.66</v>
      </c>
      <c r="N23" s="4">
        <v>1.03</v>
      </c>
      <c r="O23" s="4">
        <v>7.1</v>
      </c>
      <c r="P23" s="4">
        <v>14.14</v>
      </c>
      <c r="Q23" s="4">
        <v>2.86</v>
      </c>
      <c r="R23" s="4" t="s">
        <v>69</v>
      </c>
      <c r="S23" s="4" t="s">
        <v>21</v>
      </c>
      <c r="T23" s="4">
        <v>4.4000000000000004</v>
      </c>
    </row>
    <row r="24" spans="1:20" x14ac:dyDescent="0.35">
      <c r="A24" s="3" t="s">
        <v>70</v>
      </c>
      <c r="B24" s="5">
        <v>46227</v>
      </c>
      <c r="C24" s="5">
        <f>Delivered_data[[#This Row],[order_date]]-WEEKDAY(Delivered_data[[#This Row],[order_date]],2)+1</f>
        <v>46223</v>
      </c>
      <c r="D24" s="3" t="s">
        <v>23</v>
      </c>
      <c r="E24" s="3" t="s">
        <v>50</v>
      </c>
      <c r="F24" s="19">
        <f>_xlfn.XLOOKUP(Delivered_data[[#This Row],[store_id]],blinkit_stores!A:A,blinkit_stores!F:F,"not found")</f>
        <v>0.33333333333333331</v>
      </c>
      <c r="G24" s="6">
        <v>0.57986111111111116</v>
      </c>
      <c r="H24" s="6" t="str">
        <f>IF(AND(Delivered_data[[#This Row],[order_time]]&gt;=TIME(19,0,0),Delivered_data[[#This Row],[order_time]]&lt;=TIME(22,59,59)),"Peak","Non-Peak")</f>
        <v>Non-Peak</v>
      </c>
      <c r="I24" s="3">
        <v>6</v>
      </c>
      <c r="J24" s="3">
        <v>540.44000000000005</v>
      </c>
      <c r="K24" s="3">
        <v>2.79</v>
      </c>
      <c r="L24" s="3">
        <v>1.1000000000000001</v>
      </c>
      <c r="M24" s="3">
        <v>0.54</v>
      </c>
      <c r="N24" s="3">
        <v>0.57999999999999996</v>
      </c>
      <c r="O24" s="3">
        <v>6.63</v>
      </c>
      <c r="P24" s="3">
        <v>11.64</v>
      </c>
      <c r="Q24" s="3">
        <v>2.5</v>
      </c>
      <c r="R24" s="3" t="s">
        <v>71</v>
      </c>
      <c r="S24" s="3" t="s">
        <v>21</v>
      </c>
      <c r="T24" s="3">
        <v>4.5999999999999996</v>
      </c>
    </row>
    <row r="25" spans="1:20" x14ac:dyDescent="0.35">
      <c r="A25" s="4" t="s">
        <v>72</v>
      </c>
      <c r="B25" s="7">
        <v>46221</v>
      </c>
      <c r="C25" s="7">
        <f>Delivered_data[[#This Row],[order_date]]-WEEKDAY(Delivered_data[[#This Row],[order_date]],2)+1</f>
        <v>46216</v>
      </c>
      <c r="D25" s="4" t="s">
        <v>18</v>
      </c>
      <c r="E25" s="4" t="s">
        <v>42</v>
      </c>
      <c r="F25" s="20">
        <f>_xlfn.XLOOKUP(Delivered_data[[#This Row],[store_id]],blinkit_stores!A:A,blinkit_stores!F:F,"not found")</f>
        <v>0.625</v>
      </c>
      <c r="G25" s="8">
        <v>0.14027777777777778</v>
      </c>
      <c r="H25" s="8" t="str">
        <f>IF(AND(Delivered_data[[#This Row],[order_time]]&gt;=TIME(19,0,0),Delivered_data[[#This Row],[order_time]]&lt;=TIME(22,59,59)),"Peak","Non-Peak")</f>
        <v>Non-Peak</v>
      </c>
      <c r="I25" s="4">
        <v>8</v>
      </c>
      <c r="J25" s="4">
        <v>667.87</v>
      </c>
      <c r="K25" s="4">
        <v>3.94</v>
      </c>
      <c r="L25" s="4">
        <v>1.2</v>
      </c>
      <c r="M25" s="4">
        <v>0.92</v>
      </c>
      <c r="N25" s="4">
        <v>0.6</v>
      </c>
      <c r="O25" s="4">
        <v>6.68</v>
      </c>
      <c r="P25" s="4">
        <v>13.34</v>
      </c>
      <c r="Q25" s="4">
        <v>2.48</v>
      </c>
      <c r="R25" s="4" t="s">
        <v>73</v>
      </c>
      <c r="S25" s="4" t="s">
        <v>21</v>
      </c>
      <c r="T25" s="4">
        <v>4.4000000000000004</v>
      </c>
    </row>
    <row r="26" spans="1:20" x14ac:dyDescent="0.35">
      <c r="A26" s="3" t="s">
        <v>74</v>
      </c>
      <c r="B26" s="5">
        <v>46217</v>
      </c>
      <c r="C26" s="5">
        <f>Delivered_data[[#This Row],[order_date]]-WEEKDAY(Delivered_data[[#This Row],[order_date]],2)+1</f>
        <v>46216</v>
      </c>
      <c r="D26" s="3" t="s">
        <v>23</v>
      </c>
      <c r="E26" s="3" t="s">
        <v>24</v>
      </c>
      <c r="F26" s="19">
        <f>_xlfn.XLOOKUP(Delivered_data[[#This Row],[store_id]],blinkit_stores!A:A,blinkit_stores!F:F,"not found")</f>
        <v>0.8571428571428571</v>
      </c>
      <c r="G26" s="6">
        <v>0.83819444444444446</v>
      </c>
      <c r="H26" s="6" t="str">
        <f>IF(AND(Delivered_data[[#This Row],[order_time]]&gt;=TIME(19,0,0),Delivered_data[[#This Row],[order_time]]&lt;=TIME(22,59,59)),"Peak","Non-Peak")</f>
        <v>Peak</v>
      </c>
      <c r="I26" s="3">
        <v>3</v>
      </c>
      <c r="J26" s="3">
        <v>244.69</v>
      </c>
      <c r="K26" s="3">
        <v>2.27</v>
      </c>
      <c r="L26" s="3">
        <v>0.77</v>
      </c>
      <c r="M26" s="3">
        <v>2.17</v>
      </c>
      <c r="N26" s="3">
        <v>0.85</v>
      </c>
      <c r="O26" s="3">
        <v>7.43</v>
      </c>
      <c r="P26" s="3">
        <v>13.49</v>
      </c>
      <c r="Q26" s="3">
        <v>2.87</v>
      </c>
      <c r="R26" s="3" t="s">
        <v>53</v>
      </c>
      <c r="S26" s="3" t="s">
        <v>21</v>
      </c>
      <c r="T26" s="3">
        <v>4.8</v>
      </c>
    </row>
    <row r="27" spans="1:20" x14ac:dyDescent="0.35">
      <c r="A27" s="4" t="s">
        <v>75</v>
      </c>
      <c r="B27" s="7">
        <v>46243</v>
      </c>
      <c r="C27" s="7">
        <f>Delivered_data[[#This Row],[order_date]]-WEEKDAY(Delivered_data[[#This Row],[order_date]],2)+1</f>
        <v>46237</v>
      </c>
      <c r="D27" s="4" t="s">
        <v>23</v>
      </c>
      <c r="E27" s="4" t="s">
        <v>24</v>
      </c>
      <c r="F27" s="20">
        <f>_xlfn.XLOOKUP(Delivered_data[[#This Row],[store_id]],blinkit_stores!A:A,blinkit_stores!F:F,"not found")</f>
        <v>0.8571428571428571</v>
      </c>
      <c r="G27" s="8">
        <v>8.4722222222222227E-2</v>
      </c>
      <c r="H27" s="8" t="str">
        <f>IF(AND(Delivered_data[[#This Row],[order_time]]&gt;=TIME(19,0,0),Delivered_data[[#This Row],[order_time]]&lt;=TIME(22,59,59)),"Peak","Non-Peak")</f>
        <v>Non-Peak</v>
      </c>
      <c r="I27" s="4">
        <v>1</v>
      </c>
      <c r="J27" s="4">
        <v>183.05</v>
      </c>
      <c r="K27" s="4">
        <v>2.2999999999999998</v>
      </c>
      <c r="L27" s="4">
        <v>0.61</v>
      </c>
      <c r="M27" s="4">
        <v>1.23</v>
      </c>
      <c r="N27" s="4">
        <v>0.87</v>
      </c>
      <c r="O27" s="4">
        <v>4.09</v>
      </c>
      <c r="P27" s="4">
        <v>9.1</v>
      </c>
      <c r="Q27" s="4">
        <v>0.82</v>
      </c>
      <c r="R27" s="4" t="s">
        <v>76</v>
      </c>
      <c r="S27" s="4" t="s">
        <v>21</v>
      </c>
      <c r="T27" s="4">
        <v>5</v>
      </c>
    </row>
    <row r="28" spans="1:20" x14ac:dyDescent="0.35">
      <c r="A28" s="3" t="s">
        <v>77</v>
      </c>
      <c r="B28" s="5">
        <v>46236</v>
      </c>
      <c r="C28" s="5">
        <f>Delivered_data[[#This Row],[order_date]]-WEEKDAY(Delivered_data[[#This Row],[order_date]],2)+1</f>
        <v>46230</v>
      </c>
      <c r="D28" s="3" t="s">
        <v>23</v>
      </c>
      <c r="E28" s="3" t="s">
        <v>35</v>
      </c>
      <c r="F28" s="19">
        <f>_xlfn.XLOOKUP(Delivered_data[[#This Row],[store_id]],blinkit_stores!A:A,blinkit_stores!F:F,"not found")</f>
        <v>0.5</v>
      </c>
      <c r="G28" s="6">
        <v>0.27777777777777779</v>
      </c>
      <c r="H28" s="6" t="str">
        <f>IF(AND(Delivered_data[[#This Row],[order_time]]&gt;=TIME(19,0,0),Delivered_data[[#This Row],[order_time]]&lt;=TIME(22,59,59)),"Peak","Non-Peak")</f>
        <v>Non-Peak</v>
      </c>
      <c r="I28" s="3">
        <v>6</v>
      </c>
      <c r="J28" s="3">
        <v>225.38</v>
      </c>
      <c r="K28" s="3">
        <v>3.25</v>
      </c>
      <c r="L28" s="3">
        <v>1.01</v>
      </c>
      <c r="M28" s="3">
        <v>1.23</v>
      </c>
      <c r="N28" s="3">
        <v>0.65</v>
      </c>
      <c r="O28" s="3">
        <v>8.0299999999999994</v>
      </c>
      <c r="P28" s="3">
        <v>14.17</v>
      </c>
      <c r="Q28" s="3">
        <v>2.88</v>
      </c>
      <c r="R28" s="3" t="s">
        <v>36</v>
      </c>
      <c r="S28" s="3" t="s">
        <v>21</v>
      </c>
      <c r="T28" s="3">
        <v>4.2</v>
      </c>
    </row>
    <row r="29" spans="1:20" x14ac:dyDescent="0.35">
      <c r="A29" s="4" t="s">
        <v>78</v>
      </c>
      <c r="B29" s="7">
        <v>46216</v>
      </c>
      <c r="C29" s="7">
        <f>Delivered_data[[#This Row],[order_date]]-WEEKDAY(Delivered_data[[#This Row],[order_date]],2)+1</f>
        <v>46216</v>
      </c>
      <c r="D29" s="4" t="s">
        <v>23</v>
      </c>
      <c r="E29" s="4" t="s">
        <v>35</v>
      </c>
      <c r="F29" s="20">
        <f>_xlfn.XLOOKUP(Delivered_data[[#This Row],[store_id]],blinkit_stores!A:A,blinkit_stores!F:F,"not found")</f>
        <v>0.5</v>
      </c>
      <c r="G29" s="8">
        <v>0.53194444444444444</v>
      </c>
      <c r="H29" s="8" t="str">
        <f>IF(AND(Delivered_data[[#This Row],[order_time]]&gt;=TIME(19,0,0),Delivered_data[[#This Row],[order_time]]&lt;=TIME(22,59,59)),"Peak","Non-Peak")</f>
        <v>Non-Peak</v>
      </c>
      <c r="I29" s="4">
        <v>5</v>
      </c>
      <c r="J29" s="4">
        <v>727.27</v>
      </c>
      <c r="K29" s="4">
        <v>3.54</v>
      </c>
      <c r="L29" s="4">
        <v>1.0900000000000001</v>
      </c>
      <c r="M29" s="4">
        <v>1.1000000000000001</v>
      </c>
      <c r="N29" s="4">
        <v>0.43</v>
      </c>
      <c r="O29" s="4">
        <v>7.5</v>
      </c>
      <c r="P29" s="4">
        <v>13.66</v>
      </c>
      <c r="Q29" s="4">
        <v>2.75</v>
      </c>
      <c r="R29" s="4" t="s">
        <v>79</v>
      </c>
      <c r="S29" s="4" t="s">
        <v>21</v>
      </c>
      <c r="T29" s="4">
        <v>4.5</v>
      </c>
    </row>
    <row r="30" spans="1:20" x14ac:dyDescent="0.35">
      <c r="A30" s="3" t="s">
        <v>80</v>
      </c>
      <c r="B30" s="5">
        <v>46227</v>
      </c>
      <c r="C30" s="5">
        <f>Delivered_data[[#This Row],[order_date]]-WEEKDAY(Delivered_data[[#This Row],[order_date]],2)+1</f>
        <v>46223</v>
      </c>
      <c r="D30" s="3" t="s">
        <v>23</v>
      </c>
      <c r="E30" s="3" t="s">
        <v>35</v>
      </c>
      <c r="F30" s="19">
        <f>_xlfn.XLOOKUP(Delivered_data[[#This Row],[store_id]],blinkit_stores!A:A,blinkit_stores!F:F,"not found")</f>
        <v>0.5</v>
      </c>
      <c r="G30" s="6">
        <v>0.20347222222222222</v>
      </c>
      <c r="H30" s="6" t="str">
        <f>IF(AND(Delivered_data[[#This Row],[order_time]]&gt;=TIME(19,0,0),Delivered_data[[#This Row],[order_time]]&lt;=TIME(22,59,59)),"Peak","Non-Peak")</f>
        <v>Non-Peak</v>
      </c>
      <c r="I30" s="3">
        <v>5</v>
      </c>
      <c r="J30" s="3">
        <v>400.67</v>
      </c>
      <c r="K30" s="3">
        <v>2.82</v>
      </c>
      <c r="L30" s="3">
        <v>1.02</v>
      </c>
      <c r="M30" s="3">
        <v>0.78</v>
      </c>
      <c r="N30" s="3">
        <v>0.51</v>
      </c>
      <c r="O30" s="3">
        <v>5.16</v>
      </c>
      <c r="P30" s="3">
        <v>10.29</v>
      </c>
      <c r="Q30" s="3">
        <v>1.28</v>
      </c>
      <c r="R30" s="3" t="s">
        <v>81</v>
      </c>
      <c r="S30" s="3" t="s">
        <v>21</v>
      </c>
      <c r="T30" s="3">
        <v>5</v>
      </c>
    </row>
    <row r="31" spans="1:20" x14ac:dyDescent="0.35">
      <c r="A31" s="4" t="s">
        <v>82</v>
      </c>
      <c r="B31" s="7">
        <v>46241</v>
      </c>
      <c r="C31" s="7">
        <f>Delivered_data[[#This Row],[order_date]]-WEEKDAY(Delivered_data[[#This Row],[order_date]],2)+1</f>
        <v>46237</v>
      </c>
      <c r="D31" s="4" t="s">
        <v>23</v>
      </c>
      <c r="E31" s="4" t="s">
        <v>24</v>
      </c>
      <c r="F31" s="20">
        <f>_xlfn.XLOOKUP(Delivered_data[[#This Row],[store_id]],blinkit_stores!A:A,blinkit_stores!F:F,"not found")</f>
        <v>0.8571428571428571</v>
      </c>
      <c r="G31" s="8">
        <v>0.19375000000000001</v>
      </c>
      <c r="H31" s="8" t="str">
        <f>IF(AND(Delivered_data[[#This Row],[order_time]]&gt;=TIME(19,0,0),Delivered_data[[#This Row],[order_time]]&lt;=TIME(22,59,59)),"Peak","Non-Peak")</f>
        <v>Non-Peak</v>
      </c>
      <c r="I31" s="4">
        <v>3</v>
      </c>
      <c r="J31" s="4">
        <v>960.48</v>
      </c>
      <c r="K31" s="4">
        <v>2.34</v>
      </c>
      <c r="L31" s="4">
        <v>0.44</v>
      </c>
      <c r="M31" s="4">
        <v>1.32</v>
      </c>
      <c r="N31" s="4">
        <v>0.76</v>
      </c>
      <c r="O31" s="4">
        <v>5.52</v>
      </c>
      <c r="P31" s="4">
        <v>10.38</v>
      </c>
      <c r="Q31" s="4">
        <v>1.98</v>
      </c>
      <c r="R31" s="4" t="s">
        <v>83</v>
      </c>
      <c r="S31" s="4" t="s">
        <v>21</v>
      </c>
      <c r="T31" s="4">
        <v>4</v>
      </c>
    </row>
    <row r="32" spans="1:20" x14ac:dyDescent="0.35">
      <c r="A32" s="3" t="s">
        <v>84</v>
      </c>
      <c r="B32" s="5">
        <v>46237</v>
      </c>
      <c r="C32" s="5">
        <f>Delivered_data[[#This Row],[order_date]]-WEEKDAY(Delivered_data[[#This Row],[order_date]],2)+1</f>
        <v>46237</v>
      </c>
      <c r="D32" s="3" t="s">
        <v>46</v>
      </c>
      <c r="E32" s="3" t="s">
        <v>47</v>
      </c>
      <c r="F32" s="19">
        <f>_xlfn.XLOOKUP(Delivered_data[[#This Row],[store_id]],blinkit_stores!A:A,blinkit_stores!F:F,"not found")</f>
        <v>1.5</v>
      </c>
      <c r="G32" s="6">
        <v>0.61319444444444449</v>
      </c>
      <c r="H32" s="6" t="str">
        <f>IF(AND(Delivered_data[[#This Row],[order_time]]&gt;=TIME(19,0,0),Delivered_data[[#This Row],[order_time]]&lt;=TIME(22,59,59)),"Peak","Non-Peak")</f>
        <v>Non-Peak</v>
      </c>
      <c r="I32" s="3">
        <v>4</v>
      </c>
      <c r="J32" s="3">
        <v>398.44</v>
      </c>
      <c r="K32" s="3">
        <v>2.67</v>
      </c>
      <c r="L32" s="3">
        <v>0.95</v>
      </c>
      <c r="M32" s="3">
        <v>1.42</v>
      </c>
      <c r="N32" s="3">
        <v>0.9</v>
      </c>
      <c r="O32" s="3">
        <v>5.56</v>
      </c>
      <c r="P32" s="3">
        <v>11.5</v>
      </c>
      <c r="Q32" s="3">
        <v>2.16</v>
      </c>
      <c r="R32" s="3" t="s">
        <v>85</v>
      </c>
      <c r="S32" s="3" t="s">
        <v>21</v>
      </c>
      <c r="T32" s="3">
        <v>5</v>
      </c>
    </row>
    <row r="33" spans="1:20" x14ac:dyDescent="0.35">
      <c r="A33" s="4" t="s">
        <v>86</v>
      </c>
      <c r="B33" s="7">
        <v>46227</v>
      </c>
      <c r="C33" s="7">
        <f>Delivered_data[[#This Row],[order_date]]-WEEKDAY(Delivered_data[[#This Row],[order_date]],2)+1</f>
        <v>46223</v>
      </c>
      <c r="D33" s="4" t="s">
        <v>23</v>
      </c>
      <c r="E33" s="4" t="s">
        <v>24</v>
      </c>
      <c r="F33" s="20">
        <f>_xlfn.XLOOKUP(Delivered_data[[#This Row],[store_id]],blinkit_stores!A:A,blinkit_stores!F:F,"not found")</f>
        <v>0.8571428571428571</v>
      </c>
      <c r="G33" s="8">
        <v>0.13680555555555557</v>
      </c>
      <c r="H33" s="8" t="str">
        <f>IF(AND(Delivered_data[[#This Row],[order_time]]&gt;=TIME(19,0,0),Delivered_data[[#This Row],[order_time]]&lt;=TIME(22,59,59)),"Peak","Non-Peak")</f>
        <v>Non-Peak</v>
      </c>
      <c r="I33" s="4">
        <v>4</v>
      </c>
      <c r="J33" s="4">
        <v>533.22</v>
      </c>
      <c r="K33" s="4">
        <v>2.57</v>
      </c>
      <c r="L33" s="4">
        <v>0.89</v>
      </c>
      <c r="M33" s="4">
        <v>0.71</v>
      </c>
      <c r="N33" s="4">
        <v>0.54</v>
      </c>
      <c r="O33" s="4">
        <v>6.45</v>
      </c>
      <c r="P33" s="4">
        <v>11.16</v>
      </c>
      <c r="Q33" s="4">
        <v>2.08</v>
      </c>
      <c r="R33" s="4" t="s">
        <v>87</v>
      </c>
      <c r="S33" s="4" t="s">
        <v>21</v>
      </c>
      <c r="T33" s="4">
        <v>4.4000000000000004</v>
      </c>
    </row>
    <row r="34" spans="1:20" x14ac:dyDescent="0.35">
      <c r="A34" s="3" t="s">
        <v>88</v>
      </c>
      <c r="B34" s="5">
        <v>46240</v>
      </c>
      <c r="C34" s="5">
        <f>Delivered_data[[#This Row],[order_date]]-WEEKDAY(Delivered_data[[#This Row],[order_date]],2)+1</f>
        <v>46237</v>
      </c>
      <c r="D34" s="3" t="s">
        <v>23</v>
      </c>
      <c r="E34" s="3" t="s">
        <v>24</v>
      </c>
      <c r="F34" s="19">
        <f>_xlfn.XLOOKUP(Delivered_data[[#This Row],[store_id]],blinkit_stores!A:A,blinkit_stores!F:F,"not found")</f>
        <v>0.8571428571428571</v>
      </c>
      <c r="G34" s="6">
        <v>0.68125000000000002</v>
      </c>
      <c r="H34" s="6" t="str">
        <f>IF(AND(Delivered_data[[#This Row],[order_time]]&gt;=TIME(19,0,0),Delivered_data[[#This Row],[order_time]]&lt;=TIME(22,59,59)),"Peak","Non-Peak")</f>
        <v>Non-Peak</v>
      </c>
      <c r="I34" s="3">
        <v>4</v>
      </c>
      <c r="J34" s="3">
        <v>777.58</v>
      </c>
      <c r="K34" s="3">
        <v>2.96</v>
      </c>
      <c r="L34" s="3">
        <v>0.87</v>
      </c>
      <c r="M34" s="3">
        <v>0.95</v>
      </c>
      <c r="N34" s="3">
        <v>1.03</v>
      </c>
      <c r="O34" s="3">
        <v>7.06</v>
      </c>
      <c r="P34" s="3">
        <v>12.87</v>
      </c>
      <c r="Q34" s="3">
        <v>2.5</v>
      </c>
      <c r="R34" s="3" t="s">
        <v>87</v>
      </c>
      <c r="S34" s="3" t="s">
        <v>21</v>
      </c>
      <c r="T34" s="3">
        <v>4.0999999999999996</v>
      </c>
    </row>
    <row r="35" spans="1:20" x14ac:dyDescent="0.35">
      <c r="A35" s="4" t="s">
        <v>89</v>
      </c>
      <c r="B35" s="7">
        <v>46232</v>
      </c>
      <c r="C35" s="7">
        <f>Delivered_data[[#This Row],[order_date]]-WEEKDAY(Delivered_data[[#This Row],[order_date]],2)+1</f>
        <v>46230</v>
      </c>
      <c r="D35" s="4" t="s">
        <v>18</v>
      </c>
      <c r="E35" s="4" t="s">
        <v>31</v>
      </c>
      <c r="F35" s="20">
        <f>_xlfn.XLOOKUP(Delivered_data[[#This Row],[store_id]],blinkit_stores!A:A,blinkit_stores!F:F,"not found")</f>
        <v>0.7142857142857143</v>
      </c>
      <c r="G35" s="8">
        <v>0.52152777777777781</v>
      </c>
      <c r="H35" s="8" t="str">
        <f>IF(AND(Delivered_data[[#This Row],[order_time]]&gt;=TIME(19,0,0),Delivered_data[[#This Row],[order_time]]&lt;=TIME(22,59,59)),"Peak","Non-Peak")</f>
        <v>Non-Peak</v>
      </c>
      <c r="I35" s="4">
        <v>4</v>
      </c>
      <c r="J35" s="4">
        <v>861.1</v>
      </c>
      <c r="K35" s="4">
        <v>2.11</v>
      </c>
      <c r="L35" s="4">
        <v>0.82</v>
      </c>
      <c r="M35" s="4">
        <v>1.43</v>
      </c>
      <c r="N35" s="4">
        <v>1.06</v>
      </c>
      <c r="O35" s="4">
        <v>8.92</v>
      </c>
      <c r="P35" s="4">
        <v>14.34</v>
      </c>
      <c r="Q35" s="4">
        <v>3.49</v>
      </c>
      <c r="R35" s="4" t="s">
        <v>90</v>
      </c>
      <c r="S35" s="4" t="s">
        <v>21</v>
      </c>
      <c r="T35" s="4">
        <v>3.7</v>
      </c>
    </row>
    <row r="36" spans="1:20" x14ac:dyDescent="0.35">
      <c r="A36" s="3" t="s">
        <v>91</v>
      </c>
      <c r="B36" s="5">
        <v>46242</v>
      </c>
      <c r="C36" s="5">
        <f>Delivered_data[[#This Row],[order_date]]-WEEKDAY(Delivered_data[[#This Row],[order_date]],2)+1</f>
        <v>46237</v>
      </c>
      <c r="D36" s="3" t="s">
        <v>46</v>
      </c>
      <c r="E36" s="3" t="s">
        <v>47</v>
      </c>
      <c r="F36" s="19">
        <f>_xlfn.XLOOKUP(Delivered_data[[#This Row],[store_id]],blinkit_stores!A:A,blinkit_stores!F:F,"not found")</f>
        <v>1.5</v>
      </c>
      <c r="G36" s="6">
        <v>9.930555555555555E-2</v>
      </c>
      <c r="H36" s="6" t="str">
        <f>IF(AND(Delivered_data[[#This Row],[order_time]]&gt;=TIME(19,0,0),Delivered_data[[#This Row],[order_time]]&lt;=TIME(22,59,59)),"Peak","Non-Peak")</f>
        <v>Non-Peak</v>
      </c>
      <c r="I36" s="3">
        <v>3</v>
      </c>
      <c r="J36" s="3">
        <v>871.07</v>
      </c>
      <c r="K36" s="3">
        <v>2.09</v>
      </c>
      <c r="L36" s="3">
        <v>0.92</v>
      </c>
      <c r="M36" s="3">
        <v>0.96</v>
      </c>
      <c r="N36" s="3">
        <v>0.81</v>
      </c>
      <c r="O36" s="3">
        <v>7.28</v>
      </c>
      <c r="P36" s="3">
        <v>12.06</v>
      </c>
      <c r="Q36" s="3">
        <v>3.17</v>
      </c>
      <c r="R36" s="3" t="s">
        <v>81</v>
      </c>
      <c r="S36" s="3" t="s">
        <v>21</v>
      </c>
      <c r="T36" s="3">
        <v>3.9</v>
      </c>
    </row>
    <row r="37" spans="1:20" x14ac:dyDescent="0.35">
      <c r="A37" s="4" t="s">
        <v>92</v>
      </c>
      <c r="B37" s="7">
        <v>46242</v>
      </c>
      <c r="C37" s="7">
        <f>Delivered_data[[#This Row],[order_date]]-WEEKDAY(Delivered_data[[#This Row],[order_date]],2)+1</f>
        <v>46237</v>
      </c>
      <c r="D37" s="4" t="s">
        <v>23</v>
      </c>
      <c r="E37" s="4" t="s">
        <v>24</v>
      </c>
      <c r="F37" s="20">
        <f>_xlfn.XLOOKUP(Delivered_data[[#This Row],[store_id]],blinkit_stores!A:A,blinkit_stores!F:F,"not found")</f>
        <v>0.8571428571428571</v>
      </c>
      <c r="G37" s="8">
        <v>0.42222222222222222</v>
      </c>
      <c r="H37" s="8" t="str">
        <f>IF(AND(Delivered_data[[#This Row],[order_time]]&gt;=TIME(19,0,0),Delivered_data[[#This Row],[order_time]]&lt;=TIME(22,59,59)),"Peak","Non-Peak")</f>
        <v>Non-Peak</v>
      </c>
      <c r="I37" s="4">
        <v>6</v>
      </c>
      <c r="J37" s="4">
        <v>717.51</v>
      </c>
      <c r="K37" s="4">
        <v>2.75</v>
      </c>
      <c r="L37" s="4">
        <v>1.1399999999999999</v>
      </c>
      <c r="M37" s="4">
        <v>1.0900000000000001</v>
      </c>
      <c r="N37" s="4">
        <v>0.95</v>
      </c>
      <c r="O37" s="4">
        <v>4.1500000000000004</v>
      </c>
      <c r="P37" s="4">
        <v>10.08</v>
      </c>
      <c r="Q37" s="4">
        <v>1.02</v>
      </c>
      <c r="R37" s="4" t="s">
        <v>20</v>
      </c>
      <c r="S37" s="4" t="s">
        <v>21</v>
      </c>
      <c r="T37" s="4">
        <v>4.4000000000000004</v>
      </c>
    </row>
    <row r="38" spans="1:20" x14ac:dyDescent="0.35">
      <c r="A38" s="3" t="s">
        <v>93</v>
      </c>
      <c r="B38" s="5">
        <v>46225</v>
      </c>
      <c r="C38" s="5">
        <f>Delivered_data[[#This Row],[order_date]]-WEEKDAY(Delivered_data[[#This Row],[order_date]],2)+1</f>
        <v>46223</v>
      </c>
      <c r="D38" s="3" t="s">
        <v>18</v>
      </c>
      <c r="E38" s="3" t="s">
        <v>31</v>
      </c>
      <c r="F38" s="19">
        <f>_xlfn.XLOOKUP(Delivered_data[[#This Row],[store_id]],blinkit_stores!A:A,blinkit_stores!F:F,"not found")</f>
        <v>0.7142857142857143</v>
      </c>
      <c r="G38" s="6">
        <v>0.85</v>
      </c>
      <c r="H38" s="6" t="str">
        <f>IF(AND(Delivered_data[[#This Row],[order_time]]&gt;=TIME(19,0,0),Delivered_data[[#This Row],[order_time]]&lt;=TIME(22,59,59)),"Peak","Non-Peak")</f>
        <v>Peak</v>
      </c>
      <c r="I38" s="3">
        <v>5</v>
      </c>
      <c r="J38" s="3">
        <v>684.33</v>
      </c>
      <c r="K38" s="3">
        <v>3.23</v>
      </c>
      <c r="L38" s="3">
        <v>0.86</v>
      </c>
      <c r="M38" s="3">
        <v>2.85</v>
      </c>
      <c r="N38" s="3">
        <v>1.01</v>
      </c>
      <c r="O38" s="3">
        <v>6.81</v>
      </c>
      <c r="P38" s="3">
        <v>14.76</v>
      </c>
      <c r="Q38" s="3">
        <v>3.01</v>
      </c>
      <c r="R38" s="3" t="s">
        <v>79</v>
      </c>
      <c r="S38" s="3" t="s">
        <v>21</v>
      </c>
      <c r="T38" s="3">
        <v>4.0999999999999996</v>
      </c>
    </row>
    <row r="39" spans="1:20" x14ac:dyDescent="0.35">
      <c r="A39" s="4" t="s">
        <v>94</v>
      </c>
      <c r="B39" s="7">
        <v>46243</v>
      </c>
      <c r="C39" s="7">
        <f>Delivered_data[[#This Row],[order_date]]-WEEKDAY(Delivered_data[[#This Row],[order_date]],2)+1</f>
        <v>46237</v>
      </c>
      <c r="D39" s="4" t="s">
        <v>18</v>
      </c>
      <c r="E39" s="4" t="s">
        <v>19</v>
      </c>
      <c r="F39" s="20">
        <f>_xlfn.XLOOKUP(Delivered_data[[#This Row],[store_id]],blinkit_stores!A:A,blinkit_stores!F:F,"not found")</f>
        <v>0.375</v>
      </c>
      <c r="G39" s="8">
        <v>0.79652777777777772</v>
      </c>
      <c r="H39" s="8" t="str">
        <f>IF(AND(Delivered_data[[#This Row],[order_time]]&gt;=TIME(19,0,0),Delivered_data[[#This Row],[order_time]]&lt;=TIME(22,59,59)),"Peak","Non-Peak")</f>
        <v>Peak</v>
      </c>
      <c r="I39" s="4">
        <v>4</v>
      </c>
      <c r="J39" s="4">
        <v>606.65</v>
      </c>
      <c r="K39" s="4">
        <v>3.28</v>
      </c>
      <c r="L39" s="4">
        <v>0.92</v>
      </c>
      <c r="M39" s="4">
        <v>1.92</v>
      </c>
      <c r="N39" s="4">
        <v>1.24</v>
      </c>
      <c r="O39" s="4">
        <v>8.49</v>
      </c>
      <c r="P39" s="4">
        <v>15.85</v>
      </c>
      <c r="Q39" s="4">
        <v>3.65</v>
      </c>
      <c r="R39" s="4" t="s">
        <v>95</v>
      </c>
      <c r="S39" s="4" t="s">
        <v>21</v>
      </c>
      <c r="T39" s="4">
        <v>5</v>
      </c>
    </row>
    <row r="40" spans="1:20" x14ac:dyDescent="0.35">
      <c r="A40" s="3" t="s">
        <v>96</v>
      </c>
      <c r="B40" s="5">
        <v>46243</v>
      </c>
      <c r="C40" s="5">
        <f>Delivered_data[[#This Row],[order_date]]-WEEKDAY(Delivered_data[[#This Row],[order_date]],2)+1</f>
        <v>46237</v>
      </c>
      <c r="D40" s="3" t="s">
        <v>23</v>
      </c>
      <c r="E40" s="3" t="s">
        <v>35</v>
      </c>
      <c r="F40" s="19">
        <f>_xlfn.XLOOKUP(Delivered_data[[#This Row],[store_id]],blinkit_stores!A:A,blinkit_stores!F:F,"not found")</f>
        <v>0.5</v>
      </c>
      <c r="G40" s="6">
        <v>0.12916666666666668</v>
      </c>
      <c r="H40" s="6" t="str">
        <f>IF(AND(Delivered_data[[#This Row],[order_time]]&gt;=TIME(19,0,0),Delivered_data[[#This Row],[order_time]]&lt;=TIME(22,59,59)),"Peak","Non-Peak")</f>
        <v>Non-Peak</v>
      </c>
      <c r="I40" s="3">
        <v>4</v>
      </c>
      <c r="J40" s="3">
        <v>640.1</v>
      </c>
      <c r="K40" s="3">
        <v>2.64</v>
      </c>
      <c r="L40" s="3">
        <v>0.75</v>
      </c>
      <c r="M40" s="3">
        <v>1.33</v>
      </c>
      <c r="N40" s="3">
        <v>0.92</v>
      </c>
      <c r="O40" s="3">
        <v>7.2</v>
      </c>
      <c r="P40" s="3">
        <v>12.84</v>
      </c>
      <c r="Q40" s="3">
        <v>2.5499999999999998</v>
      </c>
      <c r="R40" s="3" t="s">
        <v>97</v>
      </c>
      <c r="S40" s="3" t="s">
        <v>21</v>
      </c>
      <c r="T40" s="3">
        <v>4.4000000000000004</v>
      </c>
    </row>
    <row r="41" spans="1:20" x14ac:dyDescent="0.35">
      <c r="A41" s="4" t="s">
        <v>98</v>
      </c>
      <c r="B41" s="7">
        <v>46231</v>
      </c>
      <c r="C41" s="7">
        <f>Delivered_data[[#This Row],[order_date]]-WEEKDAY(Delivered_data[[#This Row],[order_date]],2)+1</f>
        <v>46230</v>
      </c>
      <c r="D41" s="4" t="s">
        <v>46</v>
      </c>
      <c r="E41" s="4" t="s">
        <v>58</v>
      </c>
      <c r="F41" s="20">
        <f>_xlfn.XLOOKUP(Delivered_data[[#This Row],[store_id]],blinkit_stores!A:A,blinkit_stores!F:F,"not found")</f>
        <v>0.7142857142857143</v>
      </c>
      <c r="G41" s="8">
        <v>0.93680555555555556</v>
      </c>
      <c r="H41" s="8" t="str">
        <f>IF(AND(Delivered_data[[#This Row],[order_time]]&gt;=TIME(19,0,0),Delivered_data[[#This Row],[order_time]]&lt;=TIME(22,59,59)),"Peak","Non-Peak")</f>
        <v>Peak</v>
      </c>
      <c r="I41" s="4">
        <v>4</v>
      </c>
      <c r="J41" s="4">
        <v>400.79</v>
      </c>
      <c r="K41" s="4">
        <v>2.62</v>
      </c>
      <c r="L41" s="4">
        <v>0.7</v>
      </c>
      <c r="M41" s="4">
        <v>1.66</v>
      </c>
      <c r="N41" s="4">
        <v>1.17</v>
      </c>
      <c r="O41" s="4">
        <v>8.11</v>
      </c>
      <c r="P41" s="4">
        <v>14.26</v>
      </c>
      <c r="Q41" s="4">
        <v>3.43</v>
      </c>
      <c r="R41" s="4" t="s">
        <v>99</v>
      </c>
      <c r="S41" s="4" t="s">
        <v>21</v>
      </c>
      <c r="T41" s="4">
        <v>4.5999999999999996</v>
      </c>
    </row>
    <row r="42" spans="1:20" x14ac:dyDescent="0.35">
      <c r="A42" s="3" t="s">
        <v>100</v>
      </c>
      <c r="B42" s="5">
        <v>46230</v>
      </c>
      <c r="C42" s="5">
        <f>Delivered_data[[#This Row],[order_date]]-WEEKDAY(Delivered_data[[#This Row],[order_date]],2)+1</f>
        <v>46230</v>
      </c>
      <c r="D42" s="3" t="s">
        <v>46</v>
      </c>
      <c r="E42" s="3" t="s">
        <v>58</v>
      </c>
      <c r="F42" s="19">
        <f>_xlfn.XLOOKUP(Delivered_data[[#This Row],[store_id]],blinkit_stores!A:A,blinkit_stores!F:F,"not found")</f>
        <v>0.7142857142857143</v>
      </c>
      <c r="G42" s="6">
        <v>0.3215277777777778</v>
      </c>
      <c r="H42" s="6" t="str">
        <f>IF(AND(Delivered_data[[#This Row],[order_time]]&gt;=TIME(19,0,0),Delivered_data[[#This Row],[order_time]]&lt;=TIME(22,59,59)),"Peak","Non-Peak")</f>
        <v>Non-Peak</v>
      </c>
      <c r="I42" s="3">
        <v>3</v>
      </c>
      <c r="J42" s="3">
        <v>352.72</v>
      </c>
      <c r="K42" s="3">
        <v>2.48</v>
      </c>
      <c r="L42" s="3">
        <v>0.71</v>
      </c>
      <c r="M42" s="3">
        <v>1.25</v>
      </c>
      <c r="N42" s="3">
        <v>0.88</v>
      </c>
      <c r="O42" s="3">
        <v>9.27</v>
      </c>
      <c r="P42" s="3">
        <v>14.59</v>
      </c>
      <c r="Q42" s="3">
        <v>4.01</v>
      </c>
      <c r="R42" s="3" t="s">
        <v>101</v>
      </c>
      <c r="S42" s="3" t="s">
        <v>21</v>
      </c>
      <c r="T42" s="3">
        <v>4.5999999999999996</v>
      </c>
    </row>
    <row r="43" spans="1:20" x14ac:dyDescent="0.35">
      <c r="A43" s="4" t="s">
        <v>102</v>
      </c>
      <c r="B43" s="7">
        <v>46230</v>
      </c>
      <c r="C43" s="7">
        <f>Delivered_data[[#This Row],[order_date]]-WEEKDAY(Delivered_data[[#This Row],[order_date]],2)+1</f>
        <v>46230</v>
      </c>
      <c r="D43" s="4" t="s">
        <v>23</v>
      </c>
      <c r="E43" s="4" t="s">
        <v>24</v>
      </c>
      <c r="F43" s="20">
        <f>_xlfn.XLOOKUP(Delivered_data[[#This Row],[store_id]],blinkit_stores!A:A,blinkit_stores!F:F,"not found")</f>
        <v>0.8571428571428571</v>
      </c>
      <c r="G43" s="8">
        <v>0.95277777777777772</v>
      </c>
      <c r="H43" s="8" t="str">
        <f>IF(AND(Delivered_data[[#This Row],[order_time]]&gt;=TIME(19,0,0),Delivered_data[[#This Row],[order_time]]&lt;=TIME(22,59,59)),"Peak","Non-Peak")</f>
        <v>Peak</v>
      </c>
      <c r="I43" s="4">
        <v>3</v>
      </c>
      <c r="J43" s="4">
        <v>499.39</v>
      </c>
      <c r="K43" s="4">
        <v>2.87</v>
      </c>
      <c r="L43" s="4">
        <v>0.89</v>
      </c>
      <c r="M43" s="4">
        <v>1.83</v>
      </c>
      <c r="N43" s="4">
        <v>0.82</v>
      </c>
      <c r="O43" s="4">
        <v>8.17</v>
      </c>
      <c r="P43" s="4">
        <v>14.58</v>
      </c>
      <c r="Q43" s="4">
        <v>3.37</v>
      </c>
      <c r="R43" s="4" t="s">
        <v>103</v>
      </c>
      <c r="S43" s="4" t="s">
        <v>21</v>
      </c>
      <c r="T43" s="4">
        <v>4.5</v>
      </c>
    </row>
    <row r="44" spans="1:20" x14ac:dyDescent="0.35">
      <c r="A44" s="3" t="s">
        <v>104</v>
      </c>
      <c r="B44" s="5">
        <v>46234</v>
      </c>
      <c r="C44" s="5">
        <f>Delivered_data[[#This Row],[order_date]]-WEEKDAY(Delivered_data[[#This Row],[order_date]],2)+1</f>
        <v>46230</v>
      </c>
      <c r="D44" s="3" t="s">
        <v>23</v>
      </c>
      <c r="E44" s="3" t="s">
        <v>50</v>
      </c>
      <c r="F44" s="19">
        <f>_xlfn.XLOOKUP(Delivered_data[[#This Row],[store_id]],blinkit_stores!A:A,blinkit_stores!F:F,"not found")</f>
        <v>0.33333333333333331</v>
      </c>
      <c r="G44" s="6">
        <v>0.45763888888888887</v>
      </c>
      <c r="H44" s="6" t="str">
        <f>IF(AND(Delivered_data[[#This Row],[order_time]]&gt;=TIME(19,0,0),Delivered_data[[#This Row],[order_time]]&lt;=TIME(22,59,59)),"Peak","Non-Peak")</f>
        <v>Non-Peak</v>
      </c>
      <c r="I44" s="3">
        <v>7</v>
      </c>
      <c r="J44" s="3">
        <v>469.37</v>
      </c>
      <c r="K44" s="3">
        <v>3.02</v>
      </c>
      <c r="L44" s="3">
        <v>1.22</v>
      </c>
      <c r="M44" s="3">
        <v>0.76</v>
      </c>
      <c r="N44" s="3">
        <v>0.95</v>
      </c>
      <c r="O44" s="3">
        <v>6.63</v>
      </c>
      <c r="P44" s="3">
        <v>12.58</v>
      </c>
      <c r="Q44" s="3">
        <v>2.42</v>
      </c>
      <c r="R44" s="3" t="s">
        <v>53</v>
      </c>
      <c r="S44" s="3" t="s">
        <v>21</v>
      </c>
      <c r="T44" s="3">
        <v>4.7</v>
      </c>
    </row>
    <row r="45" spans="1:20" x14ac:dyDescent="0.35">
      <c r="A45" s="4" t="s">
        <v>105</v>
      </c>
      <c r="B45" s="7">
        <v>46227</v>
      </c>
      <c r="C45" s="7">
        <f>Delivered_data[[#This Row],[order_date]]-WEEKDAY(Delivered_data[[#This Row],[order_date]],2)+1</f>
        <v>46223</v>
      </c>
      <c r="D45" s="4" t="s">
        <v>46</v>
      </c>
      <c r="E45" s="4" t="s">
        <v>47</v>
      </c>
      <c r="F45" s="20">
        <f>_xlfn.XLOOKUP(Delivered_data[[#This Row],[store_id]],blinkit_stores!A:A,blinkit_stores!F:F,"not found")</f>
        <v>1.5</v>
      </c>
      <c r="G45" s="8">
        <v>0.52986111111111112</v>
      </c>
      <c r="H45" s="8" t="str">
        <f>IF(AND(Delivered_data[[#This Row],[order_time]]&gt;=TIME(19,0,0),Delivered_data[[#This Row],[order_time]]&lt;=TIME(22,59,59)),"Peak","Non-Peak")</f>
        <v>Non-Peak</v>
      </c>
      <c r="I45" s="4">
        <v>3</v>
      </c>
      <c r="J45" s="4">
        <v>418.42</v>
      </c>
      <c r="K45" s="4">
        <v>2.54</v>
      </c>
      <c r="L45" s="4">
        <v>0.85</v>
      </c>
      <c r="M45" s="4">
        <v>1.33</v>
      </c>
      <c r="N45" s="4">
        <v>0.83</v>
      </c>
      <c r="O45" s="4">
        <v>6.94</v>
      </c>
      <c r="P45" s="4">
        <v>12.49</v>
      </c>
      <c r="Q45" s="4">
        <v>3.14</v>
      </c>
      <c r="R45" s="4" t="s">
        <v>106</v>
      </c>
      <c r="S45" s="4" t="s">
        <v>21</v>
      </c>
      <c r="T45" s="4">
        <v>4.2</v>
      </c>
    </row>
    <row r="46" spans="1:20" x14ac:dyDescent="0.35">
      <c r="A46" s="3" t="s">
        <v>107</v>
      </c>
      <c r="B46" s="5">
        <v>46238</v>
      </c>
      <c r="C46" s="5">
        <f>Delivered_data[[#This Row],[order_date]]-WEEKDAY(Delivered_data[[#This Row],[order_date]],2)+1</f>
        <v>46237</v>
      </c>
      <c r="D46" s="3" t="s">
        <v>18</v>
      </c>
      <c r="E46" s="3" t="s">
        <v>42</v>
      </c>
      <c r="F46" s="19">
        <f>_xlfn.XLOOKUP(Delivered_data[[#This Row],[store_id]],blinkit_stores!A:A,blinkit_stores!F:F,"not found")</f>
        <v>0.625</v>
      </c>
      <c r="G46" s="6">
        <v>0.66249999999999998</v>
      </c>
      <c r="H46" s="6" t="str">
        <f>IF(AND(Delivered_data[[#This Row],[order_time]]&gt;=TIME(19,0,0),Delivered_data[[#This Row],[order_time]]&lt;=TIME(22,59,59)),"Peak","Non-Peak")</f>
        <v>Non-Peak</v>
      </c>
      <c r="I46" s="3">
        <v>2</v>
      </c>
      <c r="J46" s="3">
        <v>625.35</v>
      </c>
      <c r="K46" s="3">
        <v>2.58</v>
      </c>
      <c r="L46" s="3">
        <v>0.8</v>
      </c>
      <c r="M46" s="3">
        <v>1.61</v>
      </c>
      <c r="N46" s="3">
        <v>0.77</v>
      </c>
      <c r="O46" s="3">
        <v>6.36</v>
      </c>
      <c r="P46" s="3">
        <v>12.12</v>
      </c>
      <c r="Q46" s="3">
        <v>2.33</v>
      </c>
      <c r="R46" s="3" t="s">
        <v>108</v>
      </c>
      <c r="S46" s="3" t="s">
        <v>21</v>
      </c>
      <c r="T46" s="3">
        <v>5</v>
      </c>
    </row>
    <row r="47" spans="1:20" x14ac:dyDescent="0.35">
      <c r="A47" s="4" t="s">
        <v>109</v>
      </c>
      <c r="B47" s="7">
        <v>46235</v>
      </c>
      <c r="C47" s="7">
        <f>Delivered_data[[#This Row],[order_date]]-WEEKDAY(Delivered_data[[#This Row],[order_date]],2)+1</f>
        <v>46230</v>
      </c>
      <c r="D47" s="4" t="s">
        <v>18</v>
      </c>
      <c r="E47" s="4" t="s">
        <v>19</v>
      </c>
      <c r="F47" s="20">
        <f>_xlfn.XLOOKUP(Delivered_data[[#This Row],[store_id]],blinkit_stores!A:A,blinkit_stores!F:F,"not found")</f>
        <v>0.375</v>
      </c>
      <c r="G47" s="8">
        <v>0.27916666666666667</v>
      </c>
      <c r="H47" s="8" t="str">
        <f>IF(AND(Delivered_data[[#This Row],[order_time]]&gt;=TIME(19,0,0),Delivered_data[[#This Row],[order_time]]&lt;=TIME(22,59,59)),"Peak","Non-Peak")</f>
        <v>Non-Peak</v>
      </c>
      <c r="I47" s="4">
        <v>2</v>
      </c>
      <c r="J47" s="4">
        <v>671.95</v>
      </c>
      <c r="K47" s="4">
        <v>2.42</v>
      </c>
      <c r="L47" s="4">
        <v>0.77</v>
      </c>
      <c r="M47" s="4">
        <v>0.78</v>
      </c>
      <c r="N47" s="4">
        <v>0.8</v>
      </c>
      <c r="O47" s="4">
        <v>4.5</v>
      </c>
      <c r="P47" s="4">
        <v>9.27</v>
      </c>
      <c r="Q47" s="4">
        <v>2.2200000000000002</v>
      </c>
      <c r="R47" s="4" t="s">
        <v>81</v>
      </c>
      <c r="S47" s="4" t="s">
        <v>21</v>
      </c>
      <c r="T47" s="4">
        <v>5</v>
      </c>
    </row>
    <row r="48" spans="1:20" x14ac:dyDescent="0.35">
      <c r="A48" s="3" t="s">
        <v>110</v>
      </c>
      <c r="B48" s="5">
        <v>46240</v>
      </c>
      <c r="C48" s="5">
        <f>Delivered_data[[#This Row],[order_date]]-WEEKDAY(Delivered_data[[#This Row],[order_date]],2)+1</f>
        <v>46237</v>
      </c>
      <c r="D48" s="3" t="s">
        <v>18</v>
      </c>
      <c r="E48" s="3" t="s">
        <v>31</v>
      </c>
      <c r="F48" s="19">
        <f>_xlfn.XLOOKUP(Delivered_data[[#This Row],[store_id]],blinkit_stores!A:A,blinkit_stores!F:F,"not found")</f>
        <v>0.7142857142857143</v>
      </c>
      <c r="G48" s="6">
        <v>0.9506944444444444</v>
      </c>
      <c r="H48" s="6" t="str">
        <f>IF(AND(Delivered_data[[#This Row],[order_time]]&gt;=TIME(19,0,0),Delivered_data[[#This Row],[order_time]]&lt;=TIME(22,59,59)),"Peak","Non-Peak")</f>
        <v>Peak</v>
      </c>
      <c r="I48" s="3">
        <v>6</v>
      </c>
      <c r="J48" s="3">
        <v>515.91</v>
      </c>
      <c r="K48" s="3">
        <v>3.19</v>
      </c>
      <c r="L48" s="3">
        <v>0.95</v>
      </c>
      <c r="M48" s="3">
        <v>1.71</v>
      </c>
      <c r="N48" s="3">
        <v>1.28</v>
      </c>
      <c r="O48" s="3">
        <v>6.25</v>
      </c>
      <c r="P48" s="3">
        <v>13.38</v>
      </c>
      <c r="Q48" s="3">
        <v>2.13</v>
      </c>
      <c r="R48" s="3" t="s">
        <v>40</v>
      </c>
      <c r="S48" s="3" t="s">
        <v>21</v>
      </c>
      <c r="T48" s="3">
        <v>3.8</v>
      </c>
    </row>
    <row r="49" spans="1:20" x14ac:dyDescent="0.35">
      <c r="A49" s="4" t="s">
        <v>111</v>
      </c>
      <c r="B49" s="7">
        <v>46218</v>
      </c>
      <c r="C49" s="7">
        <f>Delivered_data[[#This Row],[order_date]]-WEEKDAY(Delivered_data[[#This Row],[order_date]],2)+1</f>
        <v>46216</v>
      </c>
      <c r="D49" s="4" t="s">
        <v>18</v>
      </c>
      <c r="E49" s="4" t="s">
        <v>19</v>
      </c>
      <c r="F49" s="20">
        <f>_xlfn.XLOOKUP(Delivered_data[[#This Row],[store_id]],blinkit_stores!A:A,blinkit_stores!F:F,"not found")</f>
        <v>0.375</v>
      </c>
      <c r="G49" s="8">
        <v>0.10138888888888889</v>
      </c>
      <c r="H49" s="8" t="str">
        <f>IF(AND(Delivered_data[[#This Row],[order_time]]&gt;=TIME(19,0,0),Delivered_data[[#This Row],[order_time]]&lt;=TIME(22,59,59)),"Peak","Non-Peak")</f>
        <v>Non-Peak</v>
      </c>
      <c r="I49" s="4">
        <v>5</v>
      </c>
      <c r="J49" s="4">
        <v>765.96</v>
      </c>
      <c r="K49" s="4">
        <v>3.25</v>
      </c>
      <c r="L49" s="4">
        <v>1</v>
      </c>
      <c r="M49" s="4">
        <v>1.1000000000000001</v>
      </c>
      <c r="N49" s="4">
        <v>0.51</v>
      </c>
      <c r="O49" s="4">
        <v>7.4</v>
      </c>
      <c r="P49" s="4">
        <v>13.26</v>
      </c>
      <c r="Q49" s="4">
        <v>3.61</v>
      </c>
      <c r="R49" s="4" t="s">
        <v>112</v>
      </c>
      <c r="S49" s="4" t="s">
        <v>21</v>
      </c>
      <c r="T49" s="4">
        <v>4.0999999999999996</v>
      </c>
    </row>
    <row r="50" spans="1:20" x14ac:dyDescent="0.35">
      <c r="A50" s="3" t="s">
        <v>113</v>
      </c>
      <c r="B50" s="5">
        <v>46220</v>
      </c>
      <c r="C50" s="5">
        <f>Delivered_data[[#This Row],[order_date]]-WEEKDAY(Delivered_data[[#This Row],[order_date]],2)+1</f>
        <v>46216</v>
      </c>
      <c r="D50" s="3" t="s">
        <v>46</v>
      </c>
      <c r="E50" s="3" t="s">
        <v>47</v>
      </c>
      <c r="F50" s="19">
        <f>_xlfn.XLOOKUP(Delivered_data[[#This Row],[store_id]],blinkit_stores!A:A,blinkit_stores!F:F,"not found")</f>
        <v>1.5</v>
      </c>
      <c r="G50" s="6">
        <v>0.81319444444444444</v>
      </c>
      <c r="H50" s="6" t="str">
        <f>IF(AND(Delivered_data[[#This Row],[order_time]]&gt;=TIME(19,0,0),Delivered_data[[#This Row],[order_time]]&lt;=TIME(22,59,59)),"Peak","Non-Peak")</f>
        <v>Peak</v>
      </c>
      <c r="I50" s="3">
        <v>6</v>
      </c>
      <c r="J50" s="3">
        <v>294.5</v>
      </c>
      <c r="K50" s="3">
        <v>2.17</v>
      </c>
      <c r="L50" s="3">
        <v>1.1299999999999999</v>
      </c>
      <c r="M50" s="3">
        <v>1.41</v>
      </c>
      <c r="N50" s="3">
        <v>0.99</v>
      </c>
      <c r="O50" s="3">
        <v>6.36</v>
      </c>
      <c r="P50" s="3">
        <v>12.06</v>
      </c>
      <c r="Q50" s="3">
        <v>1.71</v>
      </c>
      <c r="R50" s="3" t="s">
        <v>114</v>
      </c>
      <c r="S50" s="3" t="s">
        <v>21</v>
      </c>
      <c r="T50" s="3">
        <v>4.5999999999999996</v>
      </c>
    </row>
    <row r="51" spans="1:20" x14ac:dyDescent="0.35">
      <c r="A51" s="4" t="s">
        <v>115</v>
      </c>
      <c r="B51" s="7">
        <v>46234</v>
      </c>
      <c r="C51" s="7">
        <f>Delivered_data[[#This Row],[order_date]]-WEEKDAY(Delivered_data[[#This Row],[order_date]],2)+1</f>
        <v>46230</v>
      </c>
      <c r="D51" s="4" t="s">
        <v>46</v>
      </c>
      <c r="E51" s="4" t="s">
        <v>58</v>
      </c>
      <c r="F51" s="20">
        <f>_xlfn.XLOOKUP(Delivered_data[[#This Row],[store_id]],blinkit_stores!A:A,blinkit_stores!F:F,"not found")</f>
        <v>0.7142857142857143</v>
      </c>
      <c r="G51" s="8">
        <v>0.59930555555555554</v>
      </c>
      <c r="H51" s="8" t="str">
        <f>IF(AND(Delivered_data[[#This Row],[order_time]]&gt;=TIME(19,0,0),Delivered_data[[#This Row],[order_time]]&lt;=TIME(22,59,59)),"Peak","Non-Peak")</f>
        <v>Non-Peak</v>
      </c>
      <c r="I51" s="4">
        <v>6</v>
      </c>
      <c r="J51" s="4">
        <v>465.14</v>
      </c>
      <c r="K51" s="4">
        <v>3.36</v>
      </c>
      <c r="L51" s="4">
        <v>1.1200000000000001</v>
      </c>
      <c r="M51" s="4">
        <v>1.27</v>
      </c>
      <c r="N51" s="4">
        <v>1.22</v>
      </c>
      <c r="O51" s="4">
        <v>8.68</v>
      </c>
      <c r="P51" s="4">
        <v>15.65</v>
      </c>
      <c r="Q51" s="4">
        <v>3.58</v>
      </c>
      <c r="R51" s="4" t="s">
        <v>116</v>
      </c>
      <c r="S51" s="4" t="s">
        <v>21</v>
      </c>
      <c r="T51" s="4">
        <v>3.9</v>
      </c>
    </row>
    <row r="52" spans="1:20" x14ac:dyDescent="0.35">
      <c r="A52" s="3" t="s">
        <v>117</v>
      </c>
      <c r="B52" s="5">
        <v>46222</v>
      </c>
      <c r="C52" s="5">
        <f>Delivered_data[[#This Row],[order_date]]-WEEKDAY(Delivered_data[[#This Row],[order_date]],2)+1</f>
        <v>46216</v>
      </c>
      <c r="D52" s="3" t="s">
        <v>46</v>
      </c>
      <c r="E52" s="3" t="s">
        <v>58</v>
      </c>
      <c r="F52" s="19">
        <f>_xlfn.XLOOKUP(Delivered_data[[#This Row],[store_id]],blinkit_stores!A:A,blinkit_stores!F:F,"not found")</f>
        <v>0.7142857142857143</v>
      </c>
      <c r="G52" s="6">
        <v>0.33888888888888891</v>
      </c>
      <c r="H52" s="6" t="str">
        <f>IF(AND(Delivered_data[[#This Row],[order_time]]&gt;=TIME(19,0,0),Delivered_data[[#This Row],[order_time]]&lt;=TIME(22,59,59)),"Peak","Non-Peak")</f>
        <v>Non-Peak</v>
      </c>
      <c r="I52" s="3">
        <v>5</v>
      </c>
      <c r="J52" s="3">
        <v>370.97</v>
      </c>
      <c r="K52" s="3">
        <v>2.67</v>
      </c>
      <c r="L52" s="3">
        <v>1.0900000000000001</v>
      </c>
      <c r="M52" s="3">
        <v>0.3</v>
      </c>
      <c r="N52" s="3">
        <v>0.41</v>
      </c>
      <c r="O52" s="3">
        <v>7.06</v>
      </c>
      <c r="P52" s="3">
        <v>11.53</v>
      </c>
      <c r="Q52" s="3">
        <v>2.65</v>
      </c>
      <c r="R52" s="3" t="s">
        <v>118</v>
      </c>
      <c r="S52" s="3" t="s">
        <v>21</v>
      </c>
      <c r="T52" s="3">
        <v>5</v>
      </c>
    </row>
    <row r="53" spans="1:20" x14ac:dyDescent="0.35">
      <c r="A53" s="4" t="s">
        <v>119</v>
      </c>
      <c r="B53" s="7">
        <v>46236</v>
      </c>
      <c r="C53" s="7">
        <f>Delivered_data[[#This Row],[order_date]]-WEEKDAY(Delivered_data[[#This Row],[order_date]],2)+1</f>
        <v>46230</v>
      </c>
      <c r="D53" s="4" t="s">
        <v>18</v>
      </c>
      <c r="E53" s="4" t="s">
        <v>42</v>
      </c>
      <c r="F53" s="20">
        <f>_xlfn.XLOOKUP(Delivered_data[[#This Row],[store_id]],blinkit_stores!A:A,blinkit_stores!F:F,"not found")</f>
        <v>0.625</v>
      </c>
      <c r="G53" s="8">
        <v>0.64444444444444449</v>
      </c>
      <c r="H53" s="8" t="str">
        <f>IF(AND(Delivered_data[[#This Row],[order_time]]&gt;=TIME(19,0,0),Delivered_data[[#This Row],[order_time]]&lt;=TIME(22,59,59)),"Peak","Non-Peak")</f>
        <v>Non-Peak</v>
      </c>
      <c r="I53" s="4">
        <v>6</v>
      </c>
      <c r="J53" s="4">
        <v>164.02</v>
      </c>
      <c r="K53" s="4">
        <v>2.48</v>
      </c>
      <c r="L53" s="4">
        <v>1.1100000000000001</v>
      </c>
      <c r="M53" s="4">
        <v>1.3</v>
      </c>
      <c r="N53" s="4">
        <v>0.54</v>
      </c>
      <c r="O53" s="4">
        <v>4.99</v>
      </c>
      <c r="P53" s="4">
        <v>10.42</v>
      </c>
      <c r="Q53" s="4">
        <v>0.94</v>
      </c>
      <c r="R53" s="4" t="s">
        <v>83</v>
      </c>
      <c r="S53" s="4" t="s">
        <v>21</v>
      </c>
      <c r="T53" s="4">
        <v>4.5999999999999996</v>
      </c>
    </row>
    <row r="54" spans="1:20" x14ac:dyDescent="0.35">
      <c r="A54" s="3" t="s">
        <v>120</v>
      </c>
      <c r="B54" s="5">
        <v>46224</v>
      </c>
      <c r="C54" s="5">
        <f>Delivered_data[[#This Row],[order_date]]-WEEKDAY(Delivered_data[[#This Row],[order_date]],2)+1</f>
        <v>46223</v>
      </c>
      <c r="D54" s="3" t="s">
        <v>46</v>
      </c>
      <c r="E54" s="3" t="s">
        <v>58</v>
      </c>
      <c r="F54" s="19">
        <f>_xlfn.XLOOKUP(Delivered_data[[#This Row],[store_id]],blinkit_stores!A:A,blinkit_stores!F:F,"not found")</f>
        <v>0.7142857142857143</v>
      </c>
      <c r="G54" s="6">
        <v>0.38194444444444442</v>
      </c>
      <c r="H54" s="6" t="str">
        <f>IF(AND(Delivered_data[[#This Row],[order_time]]&gt;=TIME(19,0,0),Delivered_data[[#This Row],[order_time]]&lt;=TIME(22,59,59)),"Peak","Non-Peak")</f>
        <v>Non-Peak</v>
      </c>
      <c r="I54" s="3">
        <v>4</v>
      </c>
      <c r="J54" s="3">
        <v>485.12</v>
      </c>
      <c r="K54" s="3">
        <v>2.86</v>
      </c>
      <c r="L54" s="3">
        <v>0.91</v>
      </c>
      <c r="M54" s="3">
        <v>0.45</v>
      </c>
      <c r="N54" s="3">
        <v>0.72</v>
      </c>
      <c r="O54" s="3">
        <v>6.1</v>
      </c>
      <c r="P54" s="3">
        <v>11.04</v>
      </c>
      <c r="Q54" s="3">
        <v>2.5299999999999998</v>
      </c>
      <c r="R54" s="3" t="s">
        <v>87</v>
      </c>
      <c r="S54" s="3" t="s">
        <v>21</v>
      </c>
      <c r="T54" s="3">
        <v>5</v>
      </c>
    </row>
    <row r="55" spans="1:20" x14ac:dyDescent="0.35">
      <c r="A55" s="4" t="s">
        <v>121</v>
      </c>
      <c r="B55" s="7">
        <v>46222</v>
      </c>
      <c r="C55" s="7">
        <f>Delivered_data[[#This Row],[order_date]]-WEEKDAY(Delivered_data[[#This Row],[order_date]],2)+1</f>
        <v>46216</v>
      </c>
      <c r="D55" s="4" t="s">
        <v>18</v>
      </c>
      <c r="E55" s="4" t="s">
        <v>31</v>
      </c>
      <c r="F55" s="20">
        <f>_xlfn.XLOOKUP(Delivered_data[[#This Row],[store_id]],blinkit_stores!A:A,blinkit_stores!F:F,"not found")</f>
        <v>0.7142857142857143</v>
      </c>
      <c r="G55" s="8">
        <v>0.23402777777777778</v>
      </c>
      <c r="H55" s="8" t="str">
        <f>IF(AND(Delivered_data[[#This Row],[order_time]]&gt;=TIME(19,0,0),Delivered_data[[#This Row],[order_time]]&lt;=TIME(22,59,59)),"Peak","Non-Peak")</f>
        <v>Non-Peak</v>
      </c>
      <c r="I55" s="4">
        <v>5</v>
      </c>
      <c r="J55" s="4">
        <v>478.09</v>
      </c>
      <c r="K55" s="4">
        <v>3.38</v>
      </c>
      <c r="L55" s="4">
        <v>1.08</v>
      </c>
      <c r="M55" s="4">
        <v>1.36</v>
      </c>
      <c r="N55" s="4">
        <v>0.68</v>
      </c>
      <c r="O55" s="4">
        <v>4.28</v>
      </c>
      <c r="P55" s="4">
        <v>10.78</v>
      </c>
      <c r="Q55" s="4">
        <v>0.4</v>
      </c>
      <c r="R55" s="4" t="s">
        <v>122</v>
      </c>
      <c r="S55" s="4" t="s">
        <v>21</v>
      </c>
      <c r="T55" s="4">
        <v>5</v>
      </c>
    </row>
    <row r="56" spans="1:20" x14ac:dyDescent="0.35">
      <c r="A56" s="3" t="s">
        <v>123</v>
      </c>
      <c r="B56" s="5">
        <v>46233</v>
      </c>
      <c r="C56" s="5">
        <f>Delivered_data[[#This Row],[order_date]]-WEEKDAY(Delivered_data[[#This Row],[order_date]],2)+1</f>
        <v>46230</v>
      </c>
      <c r="D56" s="3" t="s">
        <v>18</v>
      </c>
      <c r="E56" s="3" t="s">
        <v>42</v>
      </c>
      <c r="F56" s="19">
        <f>_xlfn.XLOOKUP(Delivered_data[[#This Row],[store_id]],blinkit_stores!A:A,blinkit_stores!F:F,"not found")</f>
        <v>0.625</v>
      </c>
      <c r="G56" s="6">
        <v>0.60486111111111107</v>
      </c>
      <c r="H56" s="6" t="str">
        <f>IF(AND(Delivered_data[[#This Row],[order_time]]&gt;=TIME(19,0,0),Delivered_data[[#This Row],[order_time]]&lt;=TIME(22,59,59)),"Peak","Non-Peak")</f>
        <v>Non-Peak</v>
      </c>
      <c r="I56" s="3">
        <v>7</v>
      </c>
      <c r="J56" s="3">
        <v>772.42</v>
      </c>
      <c r="K56" s="3">
        <v>3.29</v>
      </c>
      <c r="L56" s="3">
        <v>1.1100000000000001</v>
      </c>
      <c r="M56" s="3">
        <v>0.99</v>
      </c>
      <c r="N56" s="3">
        <v>0.75</v>
      </c>
      <c r="O56" s="3">
        <v>7.49</v>
      </c>
      <c r="P56" s="3">
        <v>13.63</v>
      </c>
      <c r="Q56" s="3">
        <v>2.76</v>
      </c>
      <c r="R56" s="3" t="s">
        <v>40</v>
      </c>
      <c r="S56" s="3" t="s">
        <v>21</v>
      </c>
      <c r="T56" s="3">
        <v>4.7</v>
      </c>
    </row>
    <row r="57" spans="1:20" x14ac:dyDescent="0.35">
      <c r="A57" s="4" t="s">
        <v>126</v>
      </c>
      <c r="B57" s="7">
        <v>46240</v>
      </c>
      <c r="C57" s="7">
        <f>Delivered_data[[#This Row],[order_date]]-WEEKDAY(Delivered_data[[#This Row],[order_date]],2)+1</f>
        <v>46237</v>
      </c>
      <c r="D57" s="4" t="s">
        <v>46</v>
      </c>
      <c r="E57" s="4" t="s">
        <v>58</v>
      </c>
      <c r="F57" s="20">
        <f>_xlfn.XLOOKUP(Delivered_data[[#This Row],[store_id]],blinkit_stores!A:A,blinkit_stores!F:F,"not found")</f>
        <v>0.7142857142857143</v>
      </c>
      <c r="G57" s="8">
        <v>0.32777777777777778</v>
      </c>
      <c r="H57" s="8" t="str">
        <f>IF(AND(Delivered_data[[#This Row],[order_time]]&gt;=TIME(19,0,0),Delivered_data[[#This Row],[order_time]]&lt;=TIME(22,59,59)),"Peak","Non-Peak")</f>
        <v>Non-Peak</v>
      </c>
      <c r="I57" s="4">
        <v>3</v>
      </c>
      <c r="J57" s="4">
        <v>315.64999999999998</v>
      </c>
      <c r="K57" s="4">
        <v>3.02</v>
      </c>
      <c r="L57" s="4">
        <v>0.77</v>
      </c>
      <c r="M57" s="4">
        <v>0.97</v>
      </c>
      <c r="N57" s="4">
        <v>0.67</v>
      </c>
      <c r="O57" s="4">
        <v>5.91</v>
      </c>
      <c r="P57" s="4">
        <v>11.34</v>
      </c>
      <c r="Q57" s="4">
        <v>1.67</v>
      </c>
      <c r="R57" s="4" t="s">
        <v>127</v>
      </c>
      <c r="S57" s="4" t="s">
        <v>21</v>
      </c>
      <c r="T57" s="4">
        <v>5</v>
      </c>
    </row>
    <row r="58" spans="1:20" x14ac:dyDescent="0.35">
      <c r="A58" s="3" t="s">
        <v>131</v>
      </c>
      <c r="B58" s="5">
        <v>46233</v>
      </c>
      <c r="C58" s="5">
        <f>Delivered_data[[#This Row],[order_date]]-WEEKDAY(Delivered_data[[#This Row],[order_date]],2)+1</f>
        <v>46230</v>
      </c>
      <c r="D58" s="3" t="s">
        <v>46</v>
      </c>
      <c r="E58" s="3" t="s">
        <v>47</v>
      </c>
      <c r="F58" s="19">
        <f>_xlfn.XLOOKUP(Delivered_data[[#This Row],[store_id]],blinkit_stores!A:A,blinkit_stores!F:F,"not found")</f>
        <v>1.5</v>
      </c>
      <c r="G58" s="6">
        <v>0.91736111111111107</v>
      </c>
      <c r="H58" s="6" t="str">
        <f>IF(AND(Delivered_data[[#This Row],[order_time]]&gt;=TIME(19,0,0),Delivered_data[[#This Row],[order_time]]&lt;=TIME(22,59,59)),"Peak","Non-Peak")</f>
        <v>Peak</v>
      </c>
      <c r="I58" s="3">
        <v>4</v>
      </c>
      <c r="J58" s="3">
        <v>604.78</v>
      </c>
      <c r="K58" s="3">
        <v>2.94</v>
      </c>
      <c r="L58" s="3">
        <v>0.85</v>
      </c>
      <c r="M58" s="3">
        <v>2.09</v>
      </c>
      <c r="N58" s="3">
        <v>1.35</v>
      </c>
      <c r="O58" s="3">
        <v>5.8</v>
      </c>
      <c r="P58" s="3">
        <v>13.03</v>
      </c>
      <c r="Q58" s="3">
        <v>1.99</v>
      </c>
      <c r="R58" s="3" t="s">
        <v>132</v>
      </c>
      <c r="S58" s="3" t="s">
        <v>21</v>
      </c>
      <c r="T58" s="3">
        <v>4.7</v>
      </c>
    </row>
    <row r="59" spans="1:20" x14ac:dyDescent="0.35">
      <c r="A59" s="4" t="s">
        <v>133</v>
      </c>
      <c r="B59" s="7">
        <v>46241</v>
      </c>
      <c r="C59" s="7">
        <f>Delivered_data[[#This Row],[order_date]]-WEEKDAY(Delivered_data[[#This Row],[order_date]],2)+1</f>
        <v>46237</v>
      </c>
      <c r="D59" s="4" t="s">
        <v>18</v>
      </c>
      <c r="E59" s="4" t="s">
        <v>31</v>
      </c>
      <c r="F59" s="20">
        <f>_xlfn.XLOOKUP(Delivered_data[[#This Row],[store_id]],blinkit_stores!A:A,blinkit_stores!F:F,"not found")</f>
        <v>0.7142857142857143</v>
      </c>
      <c r="G59" s="8">
        <v>0.18194444444444444</v>
      </c>
      <c r="H59" s="8" t="str">
        <f>IF(AND(Delivered_data[[#This Row],[order_time]]&gt;=TIME(19,0,0),Delivered_data[[#This Row],[order_time]]&lt;=TIME(22,59,59)),"Peak","Non-Peak")</f>
        <v>Non-Peak</v>
      </c>
      <c r="I59" s="4">
        <v>3</v>
      </c>
      <c r="J59" s="4">
        <v>459.23</v>
      </c>
      <c r="K59" s="4">
        <v>2.4900000000000002</v>
      </c>
      <c r="L59" s="4">
        <v>0.69</v>
      </c>
      <c r="M59" s="4">
        <v>2.15</v>
      </c>
      <c r="N59" s="4">
        <v>1.27</v>
      </c>
      <c r="O59" s="4">
        <v>4.3499999999999996</v>
      </c>
      <c r="P59" s="4">
        <v>10.95</v>
      </c>
      <c r="Q59" s="4">
        <v>1.25</v>
      </c>
      <c r="R59" s="4" t="s">
        <v>112</v>
      </c>
      <c r="S59" s="4" t="s">
        <v>21</v>
      </c>
      <c r="T59" s="4">
        <v>5</v>
      </c>
    </row>
    <row r="60" spans="1:20" x14ac:dyDescent="0.35">
      <c r="A60" s="3" t="s">
        <v>134</v>
      </c>
      <c r="B60" s="5">
        <v>46224</v>
      </c>
      <c r="C60" s="5">
        <f>Delivered_data[[#This Row],[order_date]]-WEEKDAY(Delivered_data[[#This Row],[order_date]],2)+1</f>
        <v>46223</v>
      </c>
      <c r="D60" s="3" t="s">
        <v>23</v>
      </c>
      <c r="E60" s="3" t="s">
        <v>50</v>
      </c>
      <c r="F60" s="19">
        <f>_xlfn.XLOOKUP(Delivered_data[[#This Row],[store_id]],blinkit_stores!A:A,blinkit_stores!F:F,"not found")</f>
        <v>0.33333333333333331</v>
      </c>
      <c r="G60" s="6">
        <v>9.930555555555555E-2</v>
      </c>
      <c r="H60" s="6" t="str">
        <f>IF(AND(Delivered_data[[#This Row],[order_time]]&gt;=TIME(19,0,0),Delivered_data[[#This Row],[order_time]]&lt;=TIME(22,59,59)),"Peak","Non-Peak")</f>
        <v>Non-Peak</v>
      </c>
      <c r="I60" s="3">
        <v>5</v>
      </c>
      <c r="J60" s="3">
        <v>327.3</v>
      </c>
      <c r="K60" s="3">
        <v>2.34</v>
      </c>
      <c r="L60" s="3">
        <v>0.91</v>
      </c>
      <c r="M60" s="3">
        <v>0.32</v>
      </c>
      <c r="N60" s="3">
        <v>0.53</v>
      </c>
      <c r="O60" s="3">
        <v>7.59</v>
      </c>
      <c r="P60" s="3">
        <v>11.69</v>
      </c>
      <c r="Q60" s="3">
        <v>3.53</v>
      </c>
      <c r="R60" s="3" t="s">
        <v>36</v>
      </c>
      <c r="S60" s="3" t="s">
        <v>21</v>
      </c>
      <c r="T60" s="3">
        <v>4.9000000000000004</v>
      </c>
    </row>
    <row r="61" spans="1:20" x14ac:dyDescent="0.35">
      <c r="A61" s="4" t="s">
        <v>135</v>
      </c>
      <c r="B61" s="7">
        <v>46241</v>
      </c>
      <c r="C61" s="7">
        <f>Delivered_data[[#This Row],[order_date]]-WEEKDAY(Delivered_data[[#This Row],[order_date]],2)+1</f>
        <v>46237</v>
      </c>
      <c r="D61" s="4" t="s">
        <v>23</v>
      </c>
      <c r="E61" s="4" t="s">
        <v>24</v>
      </c>
      <c r="F61" s="20">
        <f>_xlfn.XLOOKUP(Delivered_data[[#This Row],[store_id]],blinkit_stores!A:A,blinkit_stores!F:F,"not found")</f>
        <v>0.8571428571428571</v>
      </c>
      <c r="G61" s="8">
        <v>0.23958333333333334</v>
      </c>
      <c r="H61" s="8" t="str">
        <f>IF(AND(Delivered_data[[#This Row],[order_time]]&gt;=TIME(19,0,0),Delivered_data[[#This Row],[order_time]]&lt;=TIME(22,59,59)),"Peak","Non-Peak")</f>
        <v>Non-Peak</v>
      </c>
      <c r="I61" s="4">
        <v>5</v>
      </c>
      <c r="J61" s="4">
        <v>433</v>
      </c>
      <c r="K61" s="4">
        <v>2.81</v>
      </c>
      <c r="L61" s="4">
        <v>0.72</v>
      </c>
      <c r="M61" s="4">
        <v>1.68</v>
      </c>
      <c r="N61" s="4">
        <v>0.81</v>
      </c>
      <c r="O61" s="4">
        <v>9.5299999999999994</v>
      </c>
      <c r="P61" s="4">
        <v>15.55</v>
      </c>
      <c r="Q61" s="4">
        <v>3.97</v>
      </c>
      <c r="R61" s="4" t="s">
        <v>95</v>
      </c>
      <c r="S61" s="4" t="s">
        <v>21</v>
      </c>
      <c r="T61" s="4">
        <v>3.6</v>
      </c>
    </row>
    <row r="62" spans="1:20" x14ac:dyDescent="0.35">
      <c r="A62" s="3" t="s">
        <v>136</v>
      </c>
      <c r="B62" s="5">
        <v>46236</v>
      </c>
      <c r="C62" s="5">
        <f>Delivered_data[[#This Row],[order_date]]-WEEKDAY(Delivered_data[[#This Row],[order_date]],2)+1</f>
        <v>46230</v>
      </c>
      <c r="D62" s="3" t="s">
        <v>23</v>
      </c>
      <c r="E62" s="3" t="s">
        <v>50</v>
      </c>
      <c r="F62" s="19">
        <f>_xlfn.XLOOKUP(Delivered_data[[#This Row],[store_id]],blinkit_stores!A:A,blinkit_stores!F:F,"not found")</f>
        <v>0.33333333333333331</v>
      </c>
      <c r="G62" s="6">
        <v>0.43263888888888891</v>
      </c>
      <c r="H62" s="6" t="str">
        <f>IF(AND(Delivered_data[[#This Row],[order_time]]&gt;=TIME(19,0,0),Delivered_data[[#This Row],[order_time]]&lt;=TIME(22,59,59)),"Peak","Non-Peak")</f>
        <v>Non-Peak</v>
      </c>
      <c r="I62" s="3">
        <v>6</v>
      </c>
      <c r="J62" s="3">
        <v>695.97</v>
      </c>
      <c r="K62" s="3">
        <v>2.82</v>
      </c>
      <c r="L62" s="3">
        <v>1.06</v>
      </c>
      <c r="M62" s="3">
        <v>1.03</v>
      </c>
      <c r="N62" s="3">
        <v>0.94</v>
      </c>
      <c r="O62" s="3">
        <v>5.97</v>
      </c>
      <c r="P62" s="3">
        <v>11.82</v>
      </c>
      <c r="Q62" s="3">
        <v>2.2000000000000002</v>
      </c>
      <c r="R62" s="3" t="s">
        <v>137</v>
      </c>
      <c r="S62" s="3" t="s">
        <v>21</v>
      </c>
      <c r="T62" s="3">
        <v>4.4000000000000004</v>
      </c>
    </row>
    <row r="63" spans="1:20" x14ac:dyDescent="0.35">
      <c r="A63" s="4" t="s">
        <v>138</v>
      </c>
      <c r="B63" s="7">
        <v>46217</v>
      </c>
      <c r="C63" s="7">
        <f>Delivered_data[[#This Row],[order_date]]-WEEKDAY(Delivered_data[[#This Row],[order_date]],2)+1</f>
        <v>46216</v>
      </c>
      <c r="D63" s="4" t="s">
        <v>23</v>
      </c>
      <c r="E63" s="4" t="s">
        <v>24</v>
      </c>
      <c r="F63" s="20">
        <f>_xlfn.XLOOKUP(Delivered_data[[#This Row],[store_id]],blinkit_stores!A:A,blinkit_stores!F:F,"not found")</f>
        <v>0.8571428571428571</v>
      </c>
      <c r="G63" s="8">
        <v>0.7055555555555556</v>
      </c>
      <c r="H63" s="8" t="str">
        <f>IF(AND(Delivered_data[[#This Row],[order_time]]&gt;=TIME(19,0,0),Delivered_data[[#This Row],[order_time]]&lt;=TIME(22,59,59)),"Peak","Non-Peak")</f>
        <v>Non-Peak</v>
      </c>
      <c r="I63" s="4">
        <v>4</v>
      </c>
      <c r="J63" s="4">
        <v>839.23</v>
      </c>
      <c r="K63" s="4">
        <v>3.44</v>
      </c>
      <c r="L63" s="4">
        <v>0.87</v>
      </c>
      <c r="M63" s="4">
        <v>0.44</v>
      </c>
      <c r="N63" s="4">
        <v>0.48</v>
      </c>
      <c r="O63" s="4">
        <v>7.71</v>
      </c>
      <c r="P63" s="4">
        <v>12.94</v>
      </c>
      <c r="Q63" s="4">
        <v>3.11</v>
      </c>
      <c r="R63" s="4" t="s">
        <v>106</v>
      </c>
      <c r="S63" s="4" t="s">
        <v>21</v>
      </c>
      <c r="T63" s="4">
        <v>4.5999999999999996</v>
      </c>
    </row>
    <row r="64" spans="1:20" x14ac:dyDescent="0.35">
      <c r="A64" s="3" t="s">
        <v>139</v>
      </c>
      <c r="B64" s="5">
        <v>46235</v>
      </c>
      <c r="C64" s="5">
        <f>Delivered_data[[#This Row],[order_date]]-WEEKDAY(Delivered_data[[#This Row],[order_date]],2)+1</f>
        <v>46230</v>
      </c>
      <c r="D64" s="3" t="s">
        <v>23</v>
      </c>
      <c r="E64" s="3" t="s">
        <v>35</v>
      </c>
      <c r="F64" s="19">
        <f>_xlfn.XLOOKUP(Delivered_data[[#This Row],[store_id]],blinkit_stores!A:A,blinkit_stores!F:F,"not found")</f>
        <v>0.5</v>
      </c>
      <c r="G64" s="6">
        <v>0.61111111111111116</v>
      </c>
      <c r="H64" s="6" t="str">
        <f>IF(AND(Delivered_data[[#This Row],[order_time]]&gt;=TIME(19,0,0),Delivered_data[[#This Row],[order_time]]&lt;=TIME(22,59,59)),"Peak","Non-Peak")</f>
        <v>Non-Peak</v>
      </c>
      <c r="I64" s="3">
        <v>8</v>
      </c>
      <c r="J64" s="3">
        <v>777.78</v>
      </c>
      <c r="K64" s="3">
        <v>3.5</v>
      </c>
      <c r="L64" s="3">
        <v>1.0900000000000001</v>
      </c>
      <c r="M64" s="3">
        <v>0.87</v>
      </c>
      <c r="N64" s="3">
        <v>0.78</v>
      </c>
      <c r="O64" s="3">
        <v>7.67</v>
      </c>
      <c r="P64" s="3">
        <v>13.91</v>
      </c>
      <c r="Q64" s="3">
        <v>3.41</v>
      </c>
      <c r="R64" s="3" t="s">
        <v>140</v>
      </c>
      <c r="S64" s="3" t="s">
        <v>21</v>
      </c>
      <c r="T64" s="3">
        <v>4.5</v>
      </c>
    </row>
    <row r="65" spans="1:20" x14ac:dyDescent="0.35">
      <c r="A65" s="4" t="s">
        <v>141</v>
      </c>
      <c r="B65" s="7">
        <v>46243</v>
      </c>
      <c r="C65" s="7">
        <f>Delivered_data[[#This Row],[order_date]]-WEEKDAY(Delivered_data[[#This Row],[order_date]],2)+1</f>
        <v>46237</v>
      </c>
      <c r="D65" s="4" t="s">
        <v>18</v>
      </c>
      <c r="E65" s="4" t="s">
        <v>19</v>
      </c>
      <c r="F65" s="20">
        <f>_xlfn.XLOOKUP(Delivered_data[[#This Row],[store_id]],blinkit_stores!A:A,blinkit_stores!F:F,"not found")</f>
        <v>0.375</v>
      </c>
      <c r="G65" s="8">
        <v>6.9444444444444447E-4</v>
      </c>
      <c r="H65" s="8" t="str">
        <f>IF(AND(Delivered_data[[#This Row],[order_time]]&gt;=TIME(19,0,0),Delivered_data[[#This Row],[order_time]]&lt;=TIME(22,59,59)),"Peak","Non-Peak")</f>
        <v>Non-Peak</v>
      </c>
      <c r="I65" s="4">
        <v>5</v>
      </c>
      <c r="J65" s="4">
        <v>412.01</v>
      </c>
      <c r="K65" s="4">
        <v>2.94</v>
      </c>
      <c r="L65" s="4">
        <v>1.03</v>
      </c>
      <c r="M65" s="4">
        <v>1.04</v>
      </c>
      <c r="N65" s="4">
        <v>0.91</v>
      </c>
      <c r="O65" s="4">
        <v>4.07</v>
      </c>
      <c r="P65" s="4">
        <v>9.99</v>
      </c>
      <c r="Q65" s="4">
        <v>1.53</v>
      </c>
      <c r="R65" s="4" t="s">
        <v>76</v>
      </c>
      <c r="S65" s="4" t="s">
        <v>21</v>
      </c>
      <c r="T65" s="4">
        <v>5</v>
      </c>
    </row>
    <row r="66" spans="1:20" x14ac:dyDescent="0.35">
      <c r="A66" s="3" t="s">
        <v>142</v>
      </c>
      <c r="B66" s="5">
        <v>46230</v>
      </c>
      <c r="C66" s="5">
        <f>Delivered_data[[#This Row],[order_date]]-WEEKDAY(Delivered_data[[#This Row],[order_date]],2)+1</f>
        <v>46230</v>
      </c>
      <c r="D66" s="3" t="s">
        <v>23</v>
      </c>
      <c r="E66" s="3" t="s">
        <v>35</v>
      </c>
      <c r="F66" s="19">
        <f>_xlfn.XLOOKUP(Delivered_data[[#This Row],[store_id]],blinkit_stores!A:A,blinkit_stores!F:F,"not found")</f>
        <v>0.5</v>
      </c>
      <c r="G66" s="6">
        <v>0.62222222222222223</v>
      </c>
      <c r="H66" s="6" t="str">
        <f>IF(AND(Delivered_data[[#This Row],[order_time]]&gt;=TIME(19,0,0),Delivered_data[[#This Row],[order_time]]&lt;=TIME(22,59,59)),"Peak","Non-Peak")</f>
        <v>Non-Peak</v>
      </c>
      <c r="I66" s="3">
        <v>6</v>
      </c>
      <c r="J66" s="3">
        <v>298.47000000000003</v>
      </c>
      <c r="K66" s="3">
        <v>3.31</v>
      </c>
      <c r="L66" s="3">
        <v>1.1399999999999999</v>
      </c>
      <c r="M66" s="3">
        <v>1.66</v>
      </c>
      <c r="N66" s="3">
        <v>0.44</v>
      </c>
      <c r="O66" s="3">
        <v>5.58</v>
      </c>
      <c r="P66" s="3">
        <v>12.13</v>
      </c>
      <c r="Q66" s="3">
        <v>1.76</v>
      </c>
      <c r="R66" s="3" t="s">
        <v>27</v>
      </c>
      <c r="S66" s="3" t="s">
        <v>21</v>
      </c>
      <c r="T66" s="3">
        <v>4.0999999999999996</v>
      </c>
    </row>
    <row r="67" spans="1:20" x14ac:dyDescent="0.35">
      <c r="A67" s="4" t="s">
        <v>143</v>
      </c>
      <c r="B67" s="7">
        <v>46243</v>
      </c>
      <c r="C67" s="7">
        <f>Delivered_data[[#This Row],[order_date]]-WEEKDAY(Delivered_data[[#This Row],[order_date]],2)+1</f>
        <v>46237</v>
      </c>
      <c r="D67" s="4" t="s">
        <v>18</v>
      </c>
      <c r="E67" s="4" t="s">
        <v>19</v>
      </c>
      <c r="F67" s="20">
        <f>_xlfn.XLOOKUP(Delivered_data[[#This Row],[store_id]],blinkit_stores!A:A,blinkit_stores!F:F,"not found")</f>
        <v>0.375</v>
      </c>
      <c r="G67" s="8">
        <v>0.92152777777777772</v>
      </c>
      <c r="H67" s="8" t="str">
        <f>IF(AND(Delivered_data[[#This Row],[order_time]]&gt;=TIME(19,0,0),Delivered_data[[#This Row],[order_time]]&lt;=TIME(22,59,59)),"Peak","Non-Peak")</f>
        <v>Peak</v>
      </c>
      <c r="I67" s="4">
        <v>3</v>
      </c>
      <c r="J67" s="4">
        <v>525.36</v>
      </c>
      <c r="K67" s="4">
        <v>2.48</v>
      </c>
      <c r="L67" s="4">
        <v>0.6</v>
      </c>
      <c r="M67" s="4">
        <v>1.97</v>
      </c>
      <c r="N67" s="4">
        <v>1.1599999999999999</v>
      </c>
      <c r="O67" s="4">
        <v>7.52</v>
      </c>
      <c r="P67" s="4">
        <v>13.73</v>
      </c>
      <c r="Q67" s="4">
        <v>3.56</v>
      </c>
      <c r="R67" s="4" t="s">
        <v>85</v>
      </c>
      <c r="S67" s="4" t="s">
        <v>21</v>
      </c>
      <c r="T67" s="4">
        <v>4.8</v>
      </c>
    </row>
    <row r="68" spans="1:20" x14ac:dyDescent="0.35">
      <c r="A68" s="3" t="s">
        <v>144</v>
      </c>
      <c r="B68" s="5">
        <v>46222</v>
      </c>
      <c r="C68" s="5">
        <f>Delivered_data[[#This Row],[order_date]]-WEEKDAY(Delivered_data[[#This Row],[order_date]],2)+1</f>
        <v>46216</v>
      </c>
      <c r="D68" s="3" t="s">
        <v>23</v>
      </c>
      <c r="E68" s="3" t="s">
        <v>35</v>
      </c>
      <c r="F68" s="19">
        <f>_xlfn.XLOOKUP(Delivered_data[[#This Row],[store_id]],blinkit_stores!A:A,blinkit_stores!F:F,"not found")</f>
        <v>0.5</v>
      </c>
      <c r="G68" s="6">
        <v>0.17569444444444443</v>
      </c>
      <c r="H68" s="6" t="str">
        <f>IF(AND(Delivered_data[[#This Row],[order_time]]&gt;=TIME(19,0,0),Delivered_data[[#This Row],[order_time]]&lt;=TIME(22,59,59)),"Peak","Non-Peak")</f>
        <v>Non-Peak</v>
      </c>
      <c r="I68" s="3">
        <v>10</v>
      </c>
      <c r="J68" s="3">
        <v>181.68</v>
      </c>
      <c r="K68" s="3">
        <v>4.59</v>
      </c>
      <c r="L68" s="3">
        <v>1.26</v>
      </c>
      <c r="M68" s="3">
        <v>1.63</v>
      </c>
      <c r="N68" s="3">
        <v>0.43</v>
      </c>
      <c r="O68" s="3">
        <v>8.43</v>
      </c>
      <c r="P68" s="3">
        <v>16.34</v>
      </c>
      <c r="Q68" s="3">
        <v>3.72</v>
      </c>
      <c r="R68" s="3" t="s">
        <v>145</v>
      </c>
      <c r="S68" s="3" t="s">
        <v>21</v>
      </c>
      <c r="T68" s="3">
        <v>4.9000000000000004</v>
      </c>
    </row>
    <row r="69" spans="1:20" x14ac:dyDescent="0.35">
      <c r="A69" s="4" t="s">
        <v>146</v>
      </c>
      <c r="B69" s="7">
        <v>46227</v>
      </c>
      <c r="C69" s="7">
        <f>Delivered_data[[#This Row],[order_date]]-WEEKDAY(Delivered_data[[#This Row],[order_date]],2)+1</f>
        <v>46223</v>
      </c>
      <c r="D69" s="4" t="s">
        <v>18</v>
      </c>
      <c r="E69" s="4" t="s">
        <v>42</v>
      </c>
      <c r="F69" s="20">
        <f>_xlfn.XLOOKUP(Delivered_data[[#This Row],[store_id]],blinkit_stores!A:A,blinkit_stores!F:F,"not found")</f>
        <v>0.625</v>
      </c>
      <c r="G69" s="8">
        <v>0.31388888888888888</v>
      </c>
      <c r="H69" s="8" t="str">
        <f>IF(AND(Delivered_data[[#This Row],[order_time]]&gt;=TIME(19,0,0),Delivered_data[[#This Row],[order_time]]&lt;=TIME(22,59,59)),"Peak","Non-Peak")</f>
        <v>Non-Peak</v>
      </c>
      <c r="I69" s="4">
        <v>3</v>
      </c>
      <c r="J69" s="4">
        <v>558.16999999999996</v>
      </c>
      <c r="K69" s="4">
        <v>2.2400000000000002</v>
      </c>
      <c r="L69" s="4">
        <v>0.7</v>
      </c>
      <c r="M69" s="4">
        <v>0.36</v>
      </c>
      <c r="N69" s="4">
        <v>0.57999999999999996</v>
      </c>
      <c r="O69" s="4">
        <v>6.15</v>
      </c>
      <c r="P69" s="4">
        <v>10.029999999999999</v>
      </c>
      <c r="Q69" s="4">
        <v>2.71</v>
      </c>
      <c r="R69" s="4" t="s">
        <v>27</v>
      </c>
      <c r="S69" s="4" t="s">
        <v>21</v>
      </c>
      <c r="T69" s="4">
        <v>5</v>
      </c>
    </row>
    <row r="70" spans="1:20" x14ac:dyDescent="0.35">
      <c r="A70" s="3" t="s">
        <v>147</v>
      </c>
      <c r="B70" s="5">
        <v>46223</v>
      </c>
      <c r="C70" s="5">
        <f>Delivered_data[[#This Row],[order_date]]-WEEKDAY(Delivered_data[[#This Row],[order_date]],2)+1</f>
        <v>46223</v>
      </c>
      <c r="D70" s="3" t="s">
        <v>23</v>
      </c>
      <c r="E70" s="3" t="s">
        <v>35</v>
      </c>
      <c r="F70" s="19">
        <f>_xlfn.XLOOKUP(Delivered_data[[#This Row],[store_id]],blinkit_stores!A:A,blinkit_stores!F:F,"not found")</f>
        <v>0.5</v>
      </c>
      <c r="G70" s="6">
        <v>0.73611111111111116</v>
      </c>
      <c r="H70" s="6" t="str">
        <f>IF(AND(Delivered_data[[#This Row],[order_time]]&gt;=TIME(19,0,0),Delivered_data[[#This Row],[order_time]]&lt;=TIME(22,59,59)),"Peak","Non-Peak")</f>
        <v>Non-Peak</v>
      </c>
      <c r="I70" s="3">
        <v>2</v>
      </c>
      <c r="J70" s="3">
        <v>473.43</v>
      </c>
      <c r="K70" s="3">
        <v>2.31</v>
      </c>
      <c r="L70" s="3">
        <v>0.6</v>
      </c>
      <c r="M70" s="3">
        <v>1.22</v>
      </c>
      <c r="N70" s="3">
        <v>0.93</v>
      </c>
      <c r="O70" s="3">
        <v>5.98</v>
      </c>
      <c r="P70" s="3">
        <v>11.04</v>
      </c>
      <c r="Q70" s="3">
        <v>1.41</v>
      </c>
      <c r="R70" s="3" t="s">
        <v>148</v>
      </c>
      <c r="S70" s="3" t="s">
        <v>21</v>
      </c>
      <c r="T70" s="3">
        <v>4.7</v>
      </c>
    </row>
    <row r="71" spans="1:20" x14ac:dyDescent="0.35">
      <c r="A71" s="4" t="s">
        <v>149</v>
      </c>
      <c r="B71" s="7">
        <v>46230</v>
      </c>
      <c r="C71" s="7">
        <f>Delivered_data[[#This Row],[order_date]]-WEEKDAY(Delivered_data[[#This Row],[order_date]],2)+1</f>
        <v>46230</v>
      </c>
      <c r="D71" s="4" t="s">
        <v>23</v>
      </c>
      <c r="E71" s="4" t="s">
        <v>35</v>
      </c>
      <c r="F71" s="20">
        <f>_xlfn.XLOOKUP(Delivered_data[[#This Row],[store_id]],blinkit_stores!A:A,blinkit_stores!F:F,"not found")</f>
        <v>0.5</v>
      </c>
      <c r="G71" s="8">
        <v>0.82152777777777775</v>
      </c>
      <c r="H71" s="8" t="str">
        <f>IF(AND(Delivered_data[[#This Row],[order_time]]&gt;=TIME(19,0,0),Delivered_data[[#This Row],[order_time]]&lt;=TIME(22,59,59)),"Peak","Non-Peak")</f>
        <v>Peak</v>
      </c>
      <c r="I71" s="4">
        <v>4</v>
      </c>
      <c r="J71" s="4">
        <v>416.11</v>
      </c>
      <c r="K71" s="4">
        <v>2.42</v>
      </c>
      <c r="L71" s="4">
        <v>0.97</v>
      </c>
      <c r="M71" s="4">
        <v>1.8</v>
      </c>
      <c r="N71" s="4">
        <v>0.81</v>
      </c>
      <c r="O71" s="4">
        <v>10.119999999999999</v>
      </c>
      <c r="P71" s="4">
        <v>16.12</v>
      </c>
      <c r="Q71" s="4">
        <v>4.24</v>
      </c>
      <c r="R71" s="4" t="s">
        <v>150</v>
      </c>
      <c r="S71" s="4" t="s">
        <v>21</v>
      </c>
      <c r="T71" s="4">
        <v>4.5</v>
      </c>
    </row>
    <row r="72" spans="1:20" x14ac:dyDescent="0.35">
      <c r="A72" s="3" t="s">
        <v>151</v>
      </c>
      <c r="B72" s="5">
        <v>46218</v>
      </c>
      <c r="C72" s="5">
        <f>Delivered_data[[#This Row],[order_date]]-WEEKDAY(Delivered_data[[#This Row],[order_date]],2)+1</f>
        <v>46216</v>
      </c>
      <c r="D72" s="3" t="s">
        <v>18</v>
      </c>
      <c r="E72" s="3" t="s">
        <v>19</v>
      </c>
      <c r="F72" s="19">
        <f>_xlfn.XLOOKUP(Delivered_data[[#This Row],[store_id]],blinkit_stores!A:A,blinkit_stores!F:F,"not found")</f>
        <v>0.375</v>
      </c>
      <c r="G72" s="6">
        <v>0.70416666666666672</v>
      </c>
      <c r="H72" s="6" t="str">
        <f>IF(AND(Delivered_data[[#This Row],[order_time]]&gt;=TIME(19,0,0),Delivered_data[[#This Row],[order_time]]&lt;=TIME(22,59,59)),"Peak","Non-Peak")</f>
        <v>Non-Peak</v>
      </c>
      <c r="I72" s="3">
        <v>7</v>
      </c>
      <c r="J72" s="3">
        <v>212.95</v>
      </c>
      <c r="K72" s="3">
        <v>2.88</v>
      </c>
      <c r="L72" s="3">
        <v>1.0900000000000001</v>
      </c>
      <c r="M72" s="3">
        <v>0.88</v>
      </c>
      <c r="N72" s="3">
        <v>0.7</v>
      </c>
      <c r="O72" s="3">
        <v>5.42</v>
      </c>
      <c r="P72" s="3">
        <v>10.97</v>
      </c>
      <c r="Q72" s="3">
        <v>1.72</v>
      </c>
      <c r="R72" s="3" t="s">
        <v>152</v>
      </c>
      <c r="S72" s="3" t="s">
        <v>21</v>
      </c>
      <c r="T72" s="3">
        <v>5</v>
      </c>
    </row>
    <row r="73" spans="1:20" x14ac:dyDescent="0.35">
      <c r="A73" s="4" t="s">
        <v>153</v>
      </c>
      <c r="B73" s="7">
        <v>46229</v>
      </c>
      <c r="C73" s="7">
        <f>Delivered_data[[#This Row],[order_date]]-WEEKDAY(Delivered_data[[#This Row],[order_date]],2)+1</f>
        <v>46223</v>
      </c>
      <c r="D73" s="4" t="s">
        <v>18</v>
      </c>
      <c r="E73" s="4" t="s">
        <v>19</v>
      </c>
      <c r="F73" s="20">
        <f>_xlfn.XLOOKUP(Delivered_data[[#This Row],[store_id]],blinkit_stores!A:A,blinkit_stores!F:F,"not found")</f>
        <v>0.375</v>
      </c>
      <c r="G73" s="8">
        <v>5.5555555555555558E-3</v>
      </c>
      <c r="H73" s="8" t="str">
        <f>IF(AND(Delivered_data[[#This Row],[order_time]]&gt;=TIME(19,0,0),Delivered_data[[#This Row],[order_time]]&lt;=TIME(22,59,59)),"Peak","Non-Peak")</f>
        <v>Non-Peak</v>
      </c>
      <c r="I73" s="4">
        <v>2</v>
      </c>
      <c r="J73" s="4">
        <v>592.45000000000005</v>
      </c>
      <c r="K73" s="4">
        <v>2.0299999999999998</v>
      </c>
      <c r="L73" s="4">
        <v>0.68</v>
      </c>
      <c r="M73" s="4">
        <v>1.18</v>
      </c>
      <c r="N73" s="4">
        <v>0.62</v>
      </c>
      <c r="O73" s="4">
        <v>6.34</v>
      </c>
      <c r="P73" s="4">
        <v>10.85</v>
      </c>
      <c r="Q73" s="4">
        <v>1.9</v>
      </c>
      <c r="R73" s="4" t="s">
        <v>97</v>
      </c>
      <c r="S73" s="4" t="s">
        <v>21</v>
      </c>
      <c r="T73" s="4">
        <v>5</v>
      </c>
    </row>
    <row r="74" spans="1:20" x14ac:dyDescent="0.35">
      <c r="A74" s="3" t="s">
        <v>154</v>
      </c>
      <c r="B74" s="5">
        <v>46232</v>
      </c>
      <c r="C74" s="5">
        <f>Delivered_data[[#This Row],[order_date]]-WEEKDAY(Delivered_data[[#This Row],[order_date]],2)+1</f>
        <v>46230</v>
      </c>
      <c r="D74" s="3" t="s">
        <v>23</v>
      </c>
      <c r="E74" s="3" t="s">
        <v>24</v>
      </c>
      <c r="F74" s="19">
        <f>_xlfn.XLOOKUP(Delivered_data[[#This Row],[store_id]],blinkit_stores!A:A,blinkit_stores!F:F,"not found")</f>
        <v>0.8571428571428571</v>
      </c>
      <c r="G74" s="6">
        <v>0.87222222222222223</v>
      </c>
      <c r="H74" s="6" t="str">
        <f>IF(AND(Delivered_data[[#This Row],[order_time]]&gt;=TIME(19,0,0),Delivered_data[[#This Row],[order_time]]&lt;=TIME(22,59,59)),"Peak","Non-Peak")</f>
        <v>Peak</v>
      </c>
      <c r="I74" s="3">
        <v>3</v>
      </c>
      <c r="J74" s="3">
        <v>404.11</v>
      </c>
      <c r="K74" s="3">
        <v>2.4500000000000002</v>
      </c>
      <c r="L74" s="3">
        <v>0.55000000000000004</v>
      </c>
      <c r="M74" s="3">
        <v>1.74</v>
      </c>
      <c r="N74" s="3">
        <v>0.99</v>
      </c>
      <c r="O74" s="3">
        <v>6.86</v>
      </c>
      <c r="P74" s="3">
        <v>12.59</v>
      </c>
      <c r="Q74" s="3">
        <v>2.76</v>
      </c>
      <c r="R74" s="3" t="s">
        <v>69</v>
      </c>
      <c r="S74" s="3" t="s">
        <v>21</v>
      </c>
      <c r="T74" s="3">
        <v>4.5999999999999996</v>
      </c>
    </row>
    <row r="75" spans="1:20" x14ac:dyDescent="0.35">
      <c r="A75" s="4" t="s">
        <v>155</v>
      </c>
      <c r="B75" s="7">
        <v>46219</v>
      </c>
      <c r="C75" s="7">
        <f>Delivered_data[[#This Row],[order_date]]-WEEKDAY(Delivered_data[[#This Row],[order_date]],2)+1</f>
        <v>46216</v>
      </c>
      <c r="D75" s="4" t="s">
        <v>46</v>
      </c>
      <c r="E75" s="4" t="s">
        <v>47</v>
      </c>
      <c r="F75" s="20">
        <f>_xlfn.XLOOKUP(Delivered_data[[#This Row],[store_id]],blinkit_stores!A:A,blinkit_stores!F:F,"not found")</f>
        <v>1.5</v>
      </c>
      <c r="G75" s="8">
        <v>0.77916666666666667</v>
      </c>
      <c r="H75" s="8" t="str">
        <f>IF(AND(Delivered_data[[#This Row],[order_time]]&gt;=TIME(19,0,0),Delivered_data[[#This Row],[order_time]]&lt;=TIME(22,59,59)),"Peak","Non-Peak")</f>
        <v>Non-Peak</v>
      </c>
      <c r="I75" s="4">
        <v>9</v>
      </c>
      <c r="J75" s="4">
        <v>289.41000000000003</v>
      </c>
      <c r="K75" s="4">
        <v>3.63</v>
      </c>
      <c r="L75" s="4">
        <v>1.35</v>
      </c>
      <c r="M75" s="4">
        <v>0.3</v>
      </c>
      <c r="N75" s="4">
        <v>0.69</v>
      </c>
      <c r="O75" s="4">
        <v>8.58</v>
      </c>
      <c r="P75" s="4">
        <v>14.55</v>
      </c>
      <c r="Q75" s="4">
        <v>3.6</v>
      </c>
      <c r="R75" s="4" t="s">
        <v>156</v>
      </c>
      <c r="S75" s="4" t="s">
        <v>21</v>
      </c>
      <c r="T75" s="4">
        <v>4.7</v>
      </c>
    </row>
    <row r="76" spans="1:20" x14ac:dyDescent="0.35">
      <c r="A76" s="3" t="s">
        <v>157</v>
      </c>
      <c r="B76" s="5">
        <v>46233</v>
      </c>
      <c r="C76" s="5">
        <f>Delivered_data[[#This Row],[order_date]]-WEEKDAY(Delivered_data[[#This Row],[order_date]],2)+1</f>
        <v>46230</v>
      </c>
      <c r="D76" s="3" t="s">
        <v>23</v>
      </c>
      <c r="E76" s="3" t="s">
        <v>50</v>
      </c>
      <c r="F76" s="19">
        <f>_xlfn.XLOOKUP(Delivered_data[[#This Row],[store_id]],blinkit_stores!A:A,blinkit_stores!F:F,"not found")</f>
        <v>0.33333333333333331</v>
      </c>
      <c r="G76" s="6">
        <v>0.56597222222222221</v>
      </c>
      <c r="H76" s="6" t="str">
        <f>IF(AND(Delivered_data[[#This Row],[order_time]]&gt;=TIME(19,0,0),Delivered_data[[#This Row],[order_time]]&lt;=TIME(22,59,59)),"Peak","Non-Peak")</f>
        <v>Non-Peak</v>
      </c>
      <c r="I76" s="3">
        <v>8</v>
      </c>
      <c r="J76" s="3">
        <v>120</v>
      </c>
      <c r="K76" s="3">
        <v>3.32</v>
      </c>
      <c r="L76" s="3">
        <v>1.04</v>
      </c>
      <c r="M76" s="3">
        <v>1.06</v>
      </c>
      <c r="N76" s="3">
        <v>0.85</v>
      </c>
      <c r="O76" s="3">
        <v>7.41</v>
      </c>
      <c r="P76" s="3">
        <v>13.68</v>
      </c>
      <c r="Q76" s="3">
        <v>2.97</v>
      </c>
      <c r="R76" s="3" t="s">
        <v>101</v>
      </c>
      <c r="S76" s="3" t="s">
        <v>21</v>
      </c>
      <c r="T76" s="3">
        <v>3.4</v>
      </c>
    </row>
    <row r="77" spans="1:20" x14ac:dyDescent="0.35">
      <c r="A77" s="4" t="s">
        <v>158</v>
      </c>
      <c r="B77" s="7">
        <v>46223</v>
      </c>
      <c r="C77" s="7">
        <f>Delivered_data[[#This Row],[order_date]]-WEEKDAY(Delivered_data[[#This Row],[order_date]],2)+1</f>
        <v>46223</v>
      </c>
      <c r="D77" s="4" t="s">
        <v>23</v>
      </c>
      <c r="E77" s="4" t="s">
        <v>35</v>
      </c>
      <c r="F77" s="20">
        <f>_xlfn.XLOOKUP(Delivered_data[[#This Row],[store_id]],blinkit_stores!A:A,blinkit_stores!F:F,"not found")</f>
        <v>0.5</v>
      </c>
      <c r="G77" s="8">
        <v>0.14374999999999999</v>
      </c>
      <c r="H77" s="8" t="str">
        <f>IF(AND(Delivered_data[[#This Row],[order_time]]&gt;=TIME(19,0,0),Delivered_data[[#This Row],[order_time]]&lt;=TIME(22,59,59)),"Peak","Non-Peak")</f>
        <v>Non-Peak</v>
      </c>
      <c r="I77" s="4">
        <v>4</v>
      </c>
      <c r="J77" s="4">
        <v>495.05</v>
      </c>
      <c r="K77" s="4">
        <v>2.19</v>
      </c>
      <c r="L77" s="4">
        <v>0.88</v>
      </c>
      <c r="M77" s="4">
        <v>1.37</v>
      </c>
      <c r="N77" s="4">
        <v>0.77</v>
      </c>
      <c r="O77" s="4">
        <v>6.83</v>
      </c>
      <c r="P77" s="4">
        <v>12.04</v>
      </c>
      <c r="Q77" s="4">
        <v>2.57</v>
      </c>
      <c r="R77" s="4" t="s">
        <v>51</v>
      </c>
      <c r="S77" s="4" t="s">
        <v>21</v>
      </c>
      <c r="T77" s="4">
        <v>5</v>
      </c>
    </row>
    <row r="78" spans="1:20" x14ac:dyDescent="0.35">
      <c r="A78" s="3" t="s">
        <v>159</v>
      </c>
      <c r="B78" s="5">
        <v>46219</v>
      </c>
      <c r="C78" s="5">
        <f>Delivered_data[[#This Row],[order_date]]-WEEKDAY(Delivered_data[[#This Row],[order_date]],2)+1</f>
        <v>46216</v>
      </c>
      <c r="D78" s="3" t="s">
        <v>46</v>
      </c>
      <c r="E78" s="3" t="s">
        <v>47</v>
      </c>
      <c r="F78" s="19">
        <f>_xlfn.XLOOKUP(Delivered_data[[#This Row],[store_id]],blinkit_stores!A:A,blinkit_stores!F:F,"not found")</f>
        <v>1.5</v>
      </c>
      <c r="G78" s="6">
        <v>0.80138888888888893</v>
      </c>
      <c r="H78" s="6" t="str">
        <f>IF(AND(Delivered_data[[#This Row],[order_time]]&gt;=TIME(19,0,0),Delivered_data[[#This Row],[order_time]]&lt;=TIME(22,59,59)),"Peak","Non-Peak")</f>
        <v>Peak</v>
      </c>
      <c r="I78" s="3">
        <v>2</v>
      </c>
      <c r="J78" s="3">
        <v>819.01</v>
      </c>
      <c r="K78" s="3">
        <v>2.21</v>
      </c>
      <c r="L78" s="3">
        <v>0.74</v>
      </c>
      <c r="M78" s="3">
        <v>1.79</v>
      </c>
      <c r="N78" s="3">
        <v>0.97</v>
      </c>
      <c r="O78" s="3">
        <v>8.1999999999999993</v>
      </c>
      <c r="P78" s="3">
        <v>13.91</v>
      </c>
      <c r="Q78" s="3">
        <v>2.87</v>
      </c>
      <c r="R78" s="3" t="s">
        <v>106</v>
      </c>
      <c r="S78" s="3" t="s">
        <v>21</v>
      </c>
      <c r="T78" s="3">
        <v>4.5999999999999996</v>
      </c>
    </row>
    <row r="79" spans="1:20" x14ac:dyDescent="0.35">
      <c r="A79" s="4" t="s">
        <v>160</v>
      </c>
      <c r="B79" s="7">
        <v>46217</v>
      </c>
      <c r="C79" s="7">
        <f>Delivered_data[[#This Row],[order_date]]-WEEKDAY(Delivered_data[[#This Row],[order_date]],2)+1</f>
        <v>46216</v>
      </c>
      <c r="D79" s="4" t="s">
        <v>18</v>
      </c>
      <c r="E79" s="4" t="s">
        <v>19</v>
      </c>
      <c r="F79" s="20">
        <f>_xlfn.XLOOKUP(Delivered_data[[#This Row],[store_id]],blinkit_stores!A:A,blinkit_stores!F:F,"not found")</f>
        <v>0.375</v>
      </c>
      <c r="G79" s="8">
        <v>0.27986111111111112</v>
      </c>
      <c r="H79" s="8" t="str">
        <f>IF(AND(Delivered_data[[#This Row],[order_time]]&gt;=TIME(19,0,0),Delivered_data[[#This Row],[order_time]]&lt;=TIME(22,59,59)),"Peak","Non-Peak")</f>
        <v>Non-Peak</v>
      </c>
      <c r="I79" s="4">
        <v>7</v>
      </c>
      <c r="J79" s="4">
        <v>799.03</v>
      </c>
      <c r="K79" s="4">
        <v>2.81</v>
      </c>
      <c r="L79" s="4">
        <v>1.27</v>
      </c>
      <c r="M79" s="4">
        <v>1.18</v>
      </c>
      <c r="N79" s="4">
        <v>0.49</v>
      </c>
      <c r="O79" s="4">
        <v>6.57</v>
      </c>
      <c r="P79" s="4">
        <v>12.32</v>
      </c>
      <c r="Q79" s="4">
        <v>2.2400000000000002</v>
      </c>
      <c r="R79" s="4" t="s">
        <v>29</v>
      </c>
      <c r="S79" s="4" t="s">
        <v>21</v>
      </c>
      <c r="T79" s="4">
        <v>4.5999999999999996</v>
      </c>
    </row>
    <row r="80" spans="1:20" x14ac:dyDescent="0.35">
      <c r="A80" s="3" t="s">
        <v>162</v>
      </c>
      <c r="B80" s="5">
        <v>46237</v>
      </c>
      <c r="C80" s="5">
        <f>Delivered_data[[#This Row],[order_date]]-WEEKDAY(Delivered_data[[#This Row],[order_date]],2)+1</f>
        <v>46237</v>
      </c>
      <c r="D80" s="3" t="s">
        <v>18</v>
      </c>
      <c r="E80" s="3" t="s">
        <v>42</v>
      </c>
      <c r="F80" s="19">
        <f>_xlfn.XLOOKUP(Delivered_data[[#This Row],[store_id]],blinkit_stores!A:A,blinkit_stores!F:F,"not found")</f>
        <v>0.625</v>
      </c>
      <c r="G80" s="6">
        <v>3.6805555555555557E-2</v>
      </c>
      <c r="H80" s="6" t="str">
        <f>IF(AND(Delivered_data[[#This Row],[order_time]]&gt;=TIME(19,0,0),Delivered_data[[#This Row],[order_time]]&lt;=TIME(22,59,59)),"Peak","Non-Peak")</f>
        <v>Non-Peak</v>
      </c>
      <c r="I80" s="3">
        <v>6</v>
      </c>
      <c r="J80" s="3">
        <v>391.6</v>
      </c>
      <c r="K80" s="3">
        <v>3.15</v>
      </c>
      <c r="L80" s="3">
        <v>0.67</v>
      </c>
      <c r="M80" s="3">
        <v>1.35</v>
      </c>
      <c r="N80" s="3">
        <v>0.71</v>
      </c>
      <c r="O80" s="3">
        <v>3</v>
      </c>
      <c r="P80" s="3">
        <v>8.8800000000000008</v>
      </c>
      <c r="Q80" s="3">
        <v>0.4</v>
      </c>
      <c r="R80" s="3" t="s">
        <v>63</v>
      </c>
      <c r="S80" s="3" t="s">
        <v>21</v>
      </c>
      <c r="T80" s="3">
        <v>4.8</v>
      </c>
    </row>
    <row r="81" spans="1:20" x14ac:dyDescent="0.35">
      <c r="A81" s="4" t="s">
        <v>163</v>
      </c>
      <c r="B81" s="7">
        <v>46225</v>
      </c>
      <c r="C81" s="7">
        <f>Delivered_data[[#This Row],[order_date]]-WEEKDAY(Delivered_data[[#This Row],[order_date]],2)+1</f>
        <v>46223</v>
      </c>
      <c r="D81" s="4" t="s">
        <v>18</v>
      </c>
      <c r="E81" s="4" t="s">
        <v>31</v>
      </c>
      <c r="F81" s="20">
        <f>_xlfn.XLOOKUP(Delivered_data[[#This Row],[store_id]],blinkit_stores!A:A,blinkit_stores!F:F,"not found")</f>
        <v>0.7142857142857143</v>
      </c>
      <c r="G81" s="8">
        <v>0.79374999999999996</v>
      </c>
      <c r="H81" s="8" t="str">
        <f>IF(AND(Delivered_data[[#This Row],[order_time]]&gt;=TIME(19,0,0),Delivered_data[[#This Row],[order_time]]&lt;=TIME(22,59,59)),"Peak","Non-Peak")</f>
        <v>Peak</v>
      </c>
      <c r="I81" s="4">
        <v>4</v>
      </c>
      <c r="J81" s="4">
        <v>584.38</v>
      </c>
      <c r="K81" s="4">
        <v>2.17</v>
      </c>
      <c r="L81" s="4">
        <v>0.89</v>
      </c>
      <c r="M81" s="4">
        <v>2.54</v>
      </c>
      <c r="N81" s="4">
        <v>0.77</v>
      </c>
      <c r="O81" s="4">
        <v>5.9</v>
      </c>
      <c r="P81" s="4">
        <v>12.27</v>
      </c>
      <c r="Q81" s="4">
        <v>2.1800000000000002</v>
      </c>
      <c r="R81" s="4" t="s">
        <v>118</v>
      </c>
      <c r="S81" s="4" t="s">
        <v>21</v>
      </c>
      <c r="T81" s="4">
        <v>4.5</v>
      </c>
    </row>
    <row r="82" spans="1:20" x14ac:dyDescent="0.35">
      <c r="A82" s="3" t="s">
        <v>164</v>
      </c>
      <c r="B82" s="5">
        <v>46219</v>
      </c>
      <c r="C82" s="5">
        <f>Delivered_data[[#This Row],[order_date]]-WEEKDAY(Delivered_data[[#This Row],[order_date]],2)+1</f>
        <v>46216</v>
      </c>
      <c r="D82" s="3" t="s">
        <v>18</v>
      </c>
      <c r="E82" s="3" t="s">
        <v>42</v>
      </c>
      <c r="F82" s="19">
        <f>_xlfn.XLOOKUP(Delivered_data[[#This Row],[store_id]],blinkit_stores!A:A,blinkit_stores!F:F,"not found")</f>
        <v>0.625</v>
      </c>
      <c r="G82" s="6">
        <v>0.43541666666666667</v>
      </c>
      <c r="H82" s="6" t="str">
        <f>IF(AND(Delivered_data[[#This Row],[order_time]]&gt;=TIME(19,0,0),Delivered_data[[#This Row],[order_time]]&lt;=TIME(22,59,59)),"Peak","Non-Peak")</f>
        <v>Non-Peak</v>
      </c>
      <c r="I82" s="3">
        <v>4</v>
      </c>
      <c r="J82" s="3">
        <v>320.29000000000002</v>
      </c>
      <c r="K82" s="3">
        <v>2.57</v>
      </c>
      <c r="L82" s="3">
        <v>1.0900000000000001</v>
      </c>
      <c r="M82" s="3">
        <v>0.3</v>
      </c>
      <c r="N82" s="3">
        <v>1.08</v>
      </c>
      <c r="O82" s="3">
        <v>6.38</v>
      </c>
      <c r="P82" s="3">
        <v>11.42</v>
      </c>
      <c r="Q82" s="3">
        <v>2.42</v>
      </c>
      <c r="R82" s="3" t="s">
        <v>165</v>
      </c>
      <c r="S82" s="3" t="s">
        <v>21</v>
      </c>
      <c r="T82" s="3">
        <v>5</v>
      </c>
    </row>
    <row r="83" spans="1:20" x14ac:dyDescent="0.35">
      <c r="A83" s="4" t="s">
        <v>166</v>
      </c>
      <c r="B83" s="7">
        <v>46237</v>
      </c>
      <c r="C83" s="7">
        <f>Delivered_data[[#This Row],[order_date]]-WEEKDAY(Delivered_data[[#This Row],[order_date]],2)+1</f>
        <v>46237</v>
      </c>
      <c r="D83" s="4" t="s">
        <v>23</v>
      </c>
      <c r="E83" s="4" t="s">
        <v>24</v>
      </c>
      <c r="F83" s="20">
        <f>_xlfn.XLOOKUP(Delivered_data[[#This Row],[store_id]],blinkit_stores!A:A,blinkit_stores!F:F,"not found")</f>
        <v>0.8571428571428571</v>
      </c>
      <c r="G83" s="8">
        <v>0.40694444444444444</v>
      </c>
      <c r="H83" s="8" t="str">
        <f>IF(AND(Delivered_data[[#This Row],[order_time]]&gt;=TIME(19,0,0),Delivered_data[[#This Row],[order_time]]&lt;=TIME(22,59,59)),"Peak","Non-Peak")</f>
        <v>Non-Peak</v>
      </c>
      <c r="I83" s="4">
        <v>6</v>
      </c>
      <c r="J83" s="4">
        <v>554.32000000000005</v>
      </c>
      <c r="K83" s="4">
        <v>2.86</v>
      </c>
      <c r="L83" s="4">
        <v>1.18</v>
      </c>
      <c r="M83" s="4">
        <v>1.22</v>
      </c>
      <c r="N83" s="4">
        <v>1.1299999999999999</v>
      </c>
      <c r="O83" s="4">
        <v>4.55</v>
      </c>
      <c r="P83" s="4">
        <v>10.94</v>
      </c>
      <c r="Q83" s="4">
        <v>1.1599999999999999</v>
      </c>
      <c r="R83" s="4" t="s">
        <v>167</v>
      </c>
      <c r="S83" s="4" t="s">
        <v>21</v>
      </c>
      <c r="T83" s="4">
        <v>4.5</v>
      </c>
    </row>
    <row r="84" spans="1:20" x14ac:dyDescent="0.35">
      <c r="A84" s="3" t="s">
        <v>168</v>
      </c>
      <c r="B84" s="5">
        <v>46233</v>
      </c>
      <c r="C84" s="5">
        <f>Delivered_data[[#This Row],[order_date]]-WEEKDAY(Delivered_data[[#This Row],[order_date]],2)+1</f>
        <v>46230</v>
      </c>
      <c r="D84" s="3" t="s">
        <v>23</v>
      </c>
      <c r="E84" s="3" t="s">
        <v>35</v>
      </c>
      <c r="F84" s="19">
        <f>_xlfn.XLOOKUP(Delivered_data[[#This Row],[store_id]],blinkit_stores!A:A,blinkit_stores!F:F,"not found")</f>
        <v>0.5</v>
      </c>
      <c r="G84" s="6">
        <v>7.1527777777777773E-2</v>
      </c>
      <c r="H84" s="6" t="str">
        <f>IF(AND(Delivered_data[[#This Row],[order_time]]&gt;=TIME(19,0,0),Delivered_data[[#This Row],[order_time]]&lt;=TIME(22,59,59)),"Peak","Non-Peak")</f>
        <v>Non-Peak</v>
      </c>
      <c r="I84" s="3">
        <v>6</v>
      </c>
      <c r="J84" s="3">
        <v>637.89</v>
      </c>
      <c r="K84" s="3">
        <v>3.23</v>
      </c>
      <c r="L84" s="3">
        <v>1.06</v>
      </c>
      <c r="M84" s="3">
        <v>1.1599999999999999</v>
      </c>
      <c r="N84" s="3">
        <v>0.55000000000000004</v>
      </c>
      <c r="O84" s="3">
        <v>6.03</v>
      </c>
      <c r="P84" s="3">
        <v>12.03</v>
      </c>
      <c r="Q84" s="3">
        <v>2.5499999999999998</v>
      </c>
      <c r="R84" s="3" t="s">
        <v>145</v>
      </c>
      <c r="S84" s="3" t="s">
        <v>21</v>
      </c>
      <c r="T84" s="3">
        <v>4.5</v>
      </c>
    </row>
    <row r="85" spans="1:20" x14ac:dyDescent="0.35">
      <c r="A85" s="4" t="s">
        <v>169</v>
      </c>
      <c r="B85" s="7">
        <v>46241</v>
      </c>
      <c r="C85" s="7">
        <f>Delivered_data[[#This Row],[order_date]]-WEEKDAY(Delivered_data[[#This Row],[order_date]],2)+1</f>
        <v>46237</v>
      </c>
      <c r="D85" s="4" t="s">
        <v>18</v>
      </c>
      <c r="E85" s="4" t="s">
        <v>19</v>
      </c>
      <c r="F85" s="20">
        <f>_xlfn.XLOOKUP(Delivered_data[[#This Row],[store_id]],blinkit_stores!A:A,blinkit_stores!F:F,"not found")</f>
        <v>0.375</v>
      </c>
      <c r="G85" s="8">
        <v>0.17569444444444443</v>
      </c>
      <c r="H85" s="8" t="str">
        <f>IF(AND(Delivered_data[[#This Row],[order_time]]&gt;=TIME(19,0,0),Delivered_data[[#This Row],[order_time]]&lt;=TIME(22,59,59)),"Peak","Non-Peak")</f>
        <v>Non-Peak</v>
      </c>
      <c r="I85" s="4">
        <v>5</v>
      </c>
      <c r="J85" s="4">
        <v>720.85</v>
      </c>
      <c r="K85" s="4">
        <v>3.37</v>
      </c>
      <c r="L85" s="4">
        <v>0.89</v>
      </c>
      <c r="M85" s="4">
        <v>1.08</v>
      </c>
      <c r="N85" s="4">
        <v>0.67</v>
      </c>
      <c r="O85" s="4">
        <v>7.16</v>
      </c>
      <c r="P85" s="4">
        <v>13.17</v>
      </c>
      <c r="Q85" s="4">
        <v>2.02</v>
      </c>
      <c r="R85" s="4" t="s">
        <v>97</v>
      </c>
      <c r="S85" s="4" t="s">
        <v>21</v>
      </c>
      <c r="T85" s="4">
        <v>4.5999999999999996</v>
      </c>
    </row>
    <row r="86" spans="1:20" x14ac:dyDescent="0.35">
      <c r="A86" s="3" t="s">
        <v>170</v>
      </c>
      <c r="B86" s="5">
        <v>46227</v>
      </c>
      <c r="C86" s="5">
        <f>Delivered_data[[#This Row],[order_date]]-WEEKDAY(Delivered_data[[#This Row],[order_date]],2)+1</f>
        <v>46223</v>
      </c>
      <c r="D86" s="3" t="s">
        <v>46</v>
      </c>
      <c r="E86" s="3" t="s">
        <v>58</v>
      </c>
      <c r="F86" s="19">
        <f>_xlfn.XLOOKUP(Delivered_data[[#This Row],[store_id]],blinkit_stores!A:A,blinkit_stores!F:F,"not found")</f>
        <v>0.7142857142857143</v>
      </c>
      <c r="G86" s="6">
        <v>0.86805555555555558</v>
      </c>
      <c r="H86" s="6" t="str">
        <f>IF(AND(Delivered_data[[#This Row],[order_time]]&gt;=TIME(19,0,0),Delivered_data[[#This Row],[order_time]]&lt;=TIME(22,59,59)),"Peak","Non-Peak")</f>
        <v>Peak</v>
      </c>
      <c r="I86" s="3">
        <v>7</v>
      </c>
      <c r="J86" s="3">
        <v>481.97</v>
      </c>
      <c r="K86" s="3">
        <v>2.68</v>
      </c>
      <c r="L86" s="3">
        <v>1.21</v>
      </c>
      <c r="M86" s="3">
        <v>1.89</v>
      </c>
      <c r="N86" s="3">
        <v>1.01</v>
      </c>
      <c r="O86" s="3">
        <v>10.130000000000001</v>
      </c>
      <c r="P86" s="3">
        <v>16.920000000000002</v>
      </c>
      <c r="Q86" s="3">
        <v>4.03</v>
      </c>
      <c r="R86" s="3" t="s">
        <v>171</v>
      </c>
      <c r="S86" s="3" t="s">
        <v>21</v>
      </c>
      <c r="T86" s="3">
        <v>4.5</v>
      </c>
    </row>
    <row r="87" spans="1:20" x14ac:dyDescent="0.35">
      <c r="A87" s="4" t="s">
        <v>173</v>
      </c>
      <c r="B87" s="7">
        <v>46225</v>
      </c>
      <c r="C87" s="7">
        <f>Delivered_data[[#This Row],[order_date]]-WEEKDAY(Delivered_data[[#This Row],[order_date]],2)+1</f>
        <v>46223</v>
      </c>
      <c r="D87" s="4" t="s">
        <v>23</v>
      </c>
      <c r="E87" s="4" t="s">
        <v>24</v>
      </c>
      <c r="F87" s="20">
        <f>_xlfn.XLOOKUP(Delivered_data[[#This Row],[store_id]],blinkit_stores!A:A,blinkit_stores!F:F,"not found")</f>
        <v>0.8571428571428571</v>
      </c>
      <c r="G87" s="8">
        <v>0.35347222222222224</v>
      </c>
      <c r="H87" s="8" t="str">
        <f>IF(AND(Delivered_data[[#This Row],[order_time]]&gt;=TIME(19,0,0),Delivered_data[[#This Row],[order_time]]&lt;=TIME(22,59,59)),"Peak","Non-Peak")</f>
        <v>Non-Peak</v>
      </c>
      <c r="I87" s="4">
        <v>5</v>
      </c>
      <c r="J87" s="4">
        <v>341.96</v>
      </c>
      <c r="K87" s="4">
        <v>2.84</v>
      </c>
      <c r="L87" s="4">
        <v>1.01</v>
      </c>
      <c r="M87" s="4">
        <v>0.63</v>
      </c>
      <c r="N87" s="4">
        <v>0.77</v>
      </c>
      <c r="O87" s="4">
        <v>5.5</v>
      </c>
      <c r="P87" s="4">
        <v>10.75</v>
      </c>
      <c r="Q87" s="4">
        <v>1.78</v>
      </c>
      <c r="R87" s="4" t="s">
        <v>174</v>
      </c>
      <c r="S87" s="4" t="s">
        <v>21</v>
      </c>
      <c r="T87" s="4">
        <v>4.3</v>
      </c>
    </row>
    <row r="88" spans="1:20" x14ac:dyDescent="0.35">
      <c r="A88" s="3" t="s">
        <v>175</v>
      </c>
      <c r="B88" s="5">
        <v>46219</v>
      </c>
      <c r="C88" s="5">
        <f>Delivered_data[[#This Row],[order_date]]-WEEKDAY(Delivered_data[[#This Row],[order_date]],2)+1</f>
        <v>46216</v>
      </c>
      <c r="D88" s="3" t="s">
        <v>18</v>
      </c>
      <c r="E88" s="3" t="s">
        <v>31</v>
      </c>
      <c r="F88" s="19">
        <f>_xlfn.XLOOKUP(Delivered_data[[#This Row],[store_id]],blinkit_stores!A:A,blinkit_stores!F:F,"not found")</f>
        <v>0.7142857142857143</v>
      </c>
      <c r="G88" s="6">
        <v>6.805555555555555E-2</v>
      </c>
      <c r="H88" s="6" t="str">
        <f>IF(AND(Delivered_data[[#This Row],[order_time]]&gt;=TIME(19,0,0),Delivered_data[[#This Row],[order_time]]&lt;=TIME(22,59,59)),"Peak","Non-Peak")</f>
        <v>Non-Peak</v>
      </c>
      <c r="I88" s="3">
        <v>3</v>
      </c>
      <c r="J88" s="3">
        <v>351.16</v>
      </c>
      <c r="K88" s="3">
        <v>2.69</v>
      </c>
      <c r="L88" s="3">
        <v>0.85</v>
      </c>
      <c r="M88" s="3">
        <v>1.1100000000000001</v>
      </c>
      <c r="N88" s="3">
        <v>0.5</v>
      </c>
      <c r="O88" s="3">
        <v>5.78</v>
      </c>
      <c r="P88" s="3">
        <v>10.93</v>
      </c>
      <c r="Q88" s="3">
        <v>2.06</v>
      </c>
      <c r="R88" s="3" t="s">
        <v>20</v>
      </c>
      <c r="S88" s="3" t="s">
        <v>21</v>
      </c>
      <c r="T88" s="3">
        <v>4.5999999999999996</v>
      </c>
    </row>
    <row r="89" spans="1:20" x14ac:dyDescent="0.35">
      <c r="A89" s="4" t="s">
        <v>176</v>
      </c>
      <c r="B89" s="7">
        <v>46229</v>
      </c>
      <c r="C89" s="7">
        <f>Delivered_data[[#This Row],[order_date]]-WEEKDAY(Delivered_data[[#This Row],[order_date]],2)+1</f>
        <v>46223</v>
      </c>
      <c r="D89" s="4" t="s">
        <v>18</v>
      </c>
      <c r="E89" s="4" t="s">
        <v>42</v>
      </c>
      <c r="F89" s="20">
        <f>_xlfn.XLOOKUP(Delivered_data[[#This Row],[store_id]],blinkit_stores!A:A,blinkit_stores!F:F,"not found")</f>
        <v>0.625</v>
      </c>
      <c r="G89" s="8">
        <v>0.10555555555555556</v>
      </c>
      <c r="H89" s="8" t="str">
        <f>IF(AND(Delivered_data[[#This Row],[order_time]]&gt;=TIME(19,0,0),Delivered_data[[#This Row],[order_time]]&lt;=TIME(22,59,59)),"Peak","Non-Peak")</f>
        <v>Non-Peak</v>
      </c>
      <c r="I89" s="4">
        <v>8</v>
      </c>
      <c r="J89" s="4">
        <v>459.23</v>
      </c>
      <c r="K89" s="4">
        <v>3.63</v>
      </c>
      <c r="L89" s="4">
        <v>1.32</v>
      </c>
      <c r="M89" s="4">
        <v>0.49</v>
      </c>
      <c r="N89" s="4">
        <v>0.65</v>
      </c>
      <c r="O89" s="4">
        <v>5.48</v>
      </c>
      <c r="P89" s="4">
        <v>11.57</v>
      </c>
      <c r="Q89" s="4">
        <v>2.13</v>
      </c>
      <c r="R89" s="4" t="s">
        <v>177</v>
      </c>
      <c r="S89" s="4" t="s">
        <v>21</v>
      </c>
      <c r="T89" s="4">
        <v>4.5</v>
      </c>
    </row>
    <row r="90" spans="1:20" x14ac:dyDescent="0.35">
      <c r="A90" s="3" t="s">
        <v>178</v>
      </c>
      <c r="B90" s="5">
        <v>46231</v>
      </c>
      <c r="C90" s="5">
        <f>Delivered_data[[#This Row],[order_date]]-WEEKDAY(Delivered_data[[#This Row],[order_date]],2)+1</f>
        <v>46230</v>
      </c>
      <c r="D90" s="3" t="s">
        <v>23</v>
      </c>
      <c r="E90" s="3" t="s">
        <v>24</v>
      </c>
      <c r="F90" s="19">
        <f>_xlfn.XLOOKUP(Delivered_data[[#This Row],[store_id]],blinkit_stores!A:A,blinkit_stores!F:F,"not found")</f>
        <v>0.8571428571428571</v>
      </c>
      <c r="G90" s="6">
        <v>0.63402777777777775</v>
      </c>
      <c r="H90" s="6" t="str">
        <f>IF(AND(Delivered_data[[#This Row],[order_time]]&gt;=TIME(19,0,0),Delivered_data[[#This Row],[order_time]]&lt;=TIME(22,59,59)),"Peak","Non-Peak")</f>
        <v>Non-Peak</v>
      </c>
      <c r="I90" s="3">
        <v>11</v>
      </c>
      <c r="J90" s="3">
        <v>566.13</v>
      </c>
      <c r="K90" s="3">
        <v>3.96</v>
      </c>
      <c r="L90" s="3">
        <v>1.5</v>
      </c>
      <c r="M90" s="3">
        <v>0.61</v>
      </c>
      <c r="N90" s="3">
        <v>0.85</v>
      </c>
      <c r="O90" s="3">
        <v>5.52</v>
      </c>
      <c r="P90" s="3">
        <v>12.44</v>
      </c>
      <c r="Q90" s="3">
        <v>1.79</v>
      </c>
      <c r="R90" s="3" t="s">
        <v>79</v>
      </c>
      <c r="S90" s="3" t="s">
        <v>21</v>
      </c>
      <c r="T90" s="3">
        <v>4.7</v>
      </c>
    </row>
    <row r="91" spans="1:20" x14ac:dyDescent="0.35">
      <c r="A91" s="4" t="s">
        <v>179</v>
      </c>
      <c r="B91" s="7">
        <v>46230</v>
      </c>
      <c r="C91" s="7">
        <f>Delivered_data[[#This Row],[order_date]]-WEEKDAY(Delivered_data[[#This Row],[order_date]],2)+1</f>
        <v>46230</v>
      </c>
      <c r="D91" s="4" t="s">
        <v>23</v>
      </c>
      <c r="E91" s="4" t="s">
        <v>50</v>
      </c>
      <c r="F91" s="20">
        <f>_xlfn.XLOOKUP(Delivered_data[[#This Row],[store_id]],blinkit_stores!A:A,blinkit_stores!F:F,"not found")</f>
        <v>0.33333333333333331</v>
      </c>
      <c r="G91" s="8">
        <v>0.60902777777777772</v>
      </c>
      <c r="H91" s="8" t="str">
        <f>IF(AND(Delivered_data[[#This Row],[order_time]]&gt;=TIME(19,0,0),Delivered_data[[#This Row],[order_time]]&lt;=TIME(22,59,59)),"Peak","Non-Peak")</f>
        <v>Non-Peak</v>
      </c>
      <c r="I91" s="4">
        <v>5</v>
      </c>
      <c r="J91" s="4">
        <v>664.45</v>
      </c>
      <c r="K91" s="4">
        <v>2.79</v>
      </c>
      <c r="L91" s="4">
        <v>1</v>
      </c>
      <c r="M91" s="4">
        <v>1.23</v>
      </c>
      <c r="N91" s="4">
        <v>0.81</v>
      </c>
      <c r="O91" s="4">
        <v>6.53</v>
      </c>
      <c r="P91" s="4">
        <v>12.36</v>
      </c>
      <c r="Q91" s="4">
        <v>2.38</v>
      </c>
      <c r="R91" s="4" t="s">
        <v>51</v>
      </c>
      <c r="S91" s="4" t="s">
        <v>21</v>
      </c>
      <c r="T91" s="4">
        <v>4.9000000000000004</v>
      </c>
    </row>
    <row r="92" spans="1:20" x14ac:dyDescent="0.35">
      <c r="A92" s="3" t="s">
        <v>180</v>
      </c>
      <c r="B92" s="5">
        <v>46223</v>
      </c>
      <c r="C92" s="5">
        <f>Delivered_data[[#This Row],[order_date]]-WEEKDAY(Delivered_data[[#This Row],[order_date]],2)+1</f>
        <v>46223</v>
      </c>
      <c r="D92" s="3" t="s">
        <v>18</v>
      </c>
      <c r="E92" s="3" t="s">
        <v>31</v>
      </c>
      <c r="F92" s="19">
        <f>_xlfn.XLOOKUP(Delivered_data[[#This Row],[store_id]],blinkit_stores!A:A,blinkit_stores!F:F,"not found")</f>
        <v>0.7142857142857143</v>
      </c>
      <c r="G92" s="6">
        <v>0.23402777777777778</v>
      </c>
      <c r="H92" s="6" t="str">
        <f>IF(AND(Delivered_data[[#This Row],[order_time]]&gt;=TIME(19,0,0),Delivered_data[[#This Row],[order_time]]&lt;=TIME(22,59,59)),"Peak","Non-Peak")</f>
        <v>Non-Peak</v>
      </c>
      <c r="I92" s="3">
        <v>5</v>
      </c>
      <c r="J92" s="3">
        <v>355.43</v>
      </c>
      <c r="K92" s="3">
        <v>2.62</v>
      </c>
      <c r="L92" s="3">
        <v>0.89</v>
      </c>
      <c r="M92" s="3">
        <v>0.82</v>
      </c>
      <c r="N92" s="3">
        <v>0.27</v>
      </c>
      <c r="O92" s="3">
        <v>4.37</v>
      </c>
      <c r="P92" s="3">
        <v>8.9700000000000006</v>
      </c>
      <c r="Q92" s="3">
        <v>1.52</v>
      </c>
      <c r="R92" s="3" t="s">
        <v>181</v>
      </c>
      <c r="S92" s="3" t="s">
        <v>21</v>
      </c>
      <c r="T92" s="3">
        <v>5</v>
      </c>
    </row>
    <row r="93" spans="1:20" x14ac:dyDescent="0.35">
      <c r="A93" s="4" t="s">
        <v>182</v>
      </c>
      <c r="B93" s="7">
        <v>46229</v>
      </c>
      <c r="C93" s="7">
        <f>Delivered_data[[#This Row],[order_date]]-WEEKDAY(Delivered_data[[#This Row],[order_date]],2)+1</f>
        <v>46223</v>
      </c>
      <c r="D93" s="4" t="s">
        <v>18</v>
      </c>
      <c r="E93" s="4" t="s">
        <v>42</v>
      </c>
      <c r="F93" s="20">
        <f>_xlfn.XLOOKUP(Delivered_data[[#This Row],[store_id]],blinkit_stores!A:A,blinkit_stores!F:F,"not found")</f>
        <v>0.625</v>
      </c>
      <c r="G93" s="8">
        <v>0.57013888888888886</v>
      </c>
      <c r="H93" s="8" t="str">
        <f>IF(AND(Delivered_data[[#This Row],[order_time]]&gt;=TIME(19,0,0),Delivered_data[[#This Row],[order_time]]&lt;=TIME(22,59,59)),"Peak","Non-Peak")</f>
        <v>Non-Peak</v>
      </c>
      <c r="I93" s="4">
        <v>4</v>
      </c>
      <c r="J93" s="4">
        <v>768.68</v>
      </c>
      <c r="K93" s="4">
        <v>3.06</v>
      </c>
      <c r="L93" s="4">
        <v>0.87</v>
      </c>
      <c r="M93" s="4">
        <v>1.1000000000000001</v>
      </c>
      <c r="N93" s="4">
        <v>0.63</v>
      </c>
      <c r="O93" s="4">
        <v>4.71</v>
      </c>
      <c r="P93" s="4">
        <v>10.37</v>
      </c>
      <c r="Q93" s="4">
        <v>1.18</v>
      </c>
      <c r="R93" s="4" t="s">
        <v>51</v>
      </c>
      <c r="S93" s="4" t="s">
        <v>21</v>
      </c>
      <c r="T93" s="4">
        <v>4.2</v>
      </c>
    </row>
    <row r="94" spans="1:20" x14ac:dyDescent="0.35">
      <c r="A94" s="3" t="s">
        <v>183</v>
      </c>
      <c r="B94" s="5">
        <v>46238</v>
      </c>
      <c r="C94" s="5">
        <f>Delivered_data[[#This Row],[order_date]]-WEEKDAY(Delivered_data[[#This Row],[order_date]],2)+1</f>
        <v>46237</v>
      </c>
      <c r="D94" s="3" t="s">
        <v>23</v>
      </c>
      <c r="E94" s="3" t="s">
        <v>50</v>
      </c>
      <c r="F94" s="19">
        <f>_xlfn.XLOOKUP(Delivered_data[[#This Row],[store_id]],blinkit_stores!A:A,blinkit_stores!F:F,"not found")</f>
        <v>0.33333333333333331</v>
      </c>
      <c r="G94" s="6">
        <v>0.82361111111111107</v>
      </c>
      <c r="H94" s="6" t="str">
        <f>IF(AND(Delivered_data[[#This Row],[order_time]]&gt;=TIME(19,0,0),Delivered_data[[#This Row],[order_time]]&lt;=TIME(22,59,59)),"Peak","Non-Peak")</f>
        <v>Peak</v>
      </c>
      <c r="I94" s="3">
        <v>6</v>
      </c>
      <c r="J94" s="3">
        <v>451.2</v>
      </c>
      <c r="K94" s="3">
        <v>3.13</v>
      </c>
      <c r="L94" s="3">
        <v>0.82</v>
      </c>
      <c r="M94" s="3">
        <v>2.17</v>
      </c>
      <c r="N94" s="3">
        <v>1.01</v>
      </c>
      <c r="O94" s="3">
        <v>7.63</v>
      </c>
      <c r="P94" s="3">
        <v>14.76</v>
      </c>
      <c r="Q94" s="3">
        <v>3.01</v>
      </c>
      <c r="R94" s="3" t="s">
        <v>184</v>
      </c>
      <c r="S94" s="3" t="s">
        <v>21</v>
      </c>
      <c r="T94" s="3">
        <v>4.9000000000000004</v>
      </c>
    </row>
    <row r="95" spans="1:20" x14ac:dyDescent="0.35">
      <c r="A95" s="4" t="s">
        <v>185</v>
      </c>
      <c r="B95" s="7">
        <v>46243</v>
      </c>
      <c r="C95" s="7">
        <f>Delivered_data[[#This Row],[order_date]]-WEEKDAY(Delivered_data[[#This Row],[order_date]],2)+1</f>
        <v>46237</v>
      </c>
      <c r="D95" s="4" t="s">
        <v>23</v>
      </c>
      <c r="E95" s="4" t="s">
        <v>50</v>
      </c>
      <c r="F95" s="20">
        <f>_xlfn.XLOOKUP(Delivered_data[[#This Row],[store_id]],blinkit_stores!A:A,blinkit_stores!F:F,"not found")</f>
        <v>0.33333333333333331</v>
      </c>
      <c r="G95" s="8">
        <v>0.66388888888888886</v>
      </c>
      <c r="H95" s="8" t="str">
        <f>IF(AND(Delivered_data[[#This Row],[order_time]]&gt;=TIME(19,0,0),Delivered_data[[#This Row],[order_time]]&lt;=TIME(22,59,59)),"Peak","Non-Peak")</f>
        <v>Non-Peak</v>
      </c>
      <c r="I95" s="4">
        <v>6</v>
      </c>
      <c r="J95" s="4">
        <v>496.15</v>
      </c>
      <c r="K95" s="4">
        <v>3.79</v>
      </c>
      <c r="L95" s="4">
        <v>0.95</v>
      </c>
      <c r="M95" s="4">
        <v>0.51</v>
      </c>
      <c r="N95" s="4">
        <v>0.94</v>
      </c>
      <c r="O95" s="4">
        <v>5.94</v>
      </c>
      <c r="P95" s="4">
        <v>12.13</v>
      </c>
      <c r="Q95" s="4">
        <v>2.77</v>
      </c>
      <c r="R95" s="4" t="s">
        <v>186</v>
      </c>
      <c r="S95" s="4" t="s">
        <v>21</v>
      </c>
      <c r="T95" s="4">
        <v>4.9000000000000004</v>
      </c>
    </row>
    <row r="96" spans="1:20" x14ac:dyDescent="0.35">
      <c r="A96" s="3" t="s">
        <v>187</v>
      </c>
      <c r="B96" s="5">
        <v>46240</v>
      </c>
      <c r="C96" s="5">
        <f>Delivered_data[[#This Row],[order_date]]-WEEKDAY(Delivered_data[[#This Row],[order_date]],2)+1</f>
        <v>46237</v>
      </c>
      <c r="D96" s="3" t="s">
        <v>23</v>
      </c>
      <c r="E96" s="3" t="s">
        <v>24</v>
      </c>
      <c r="F96" s="19">
        <f>_xlfn.XLOOKUP(Delivered_data[[#This Row],[store_id]],blinkit_stores!A:A,blinkit_stores!F:F,"not found")</f>
        <v>0.8571428571428571</v>
      </c>
      <c r="G96" s="6">
        <v>0.1111111111111111</v>
      </c>
      <c r="H96" s="6" t="str">
        <f>IF(AND(Delivered_data[[#This Row],[order_time]]&gt;=TIME(19,0,0),Delivered_data[[#This Row],[order_time]]&lt;=TIME(22,59,59)),"Peak","Non-Peak")</f>
        <v>Non-Peak</v>
      </c>
      <c r="I96" s="3">
        <v>6</v>
      </c>
      <c r="J96" s="3">
        <v>365.5</v>
      </c>
      <c r="K96" s="3">
        <v>3.1</v>
      </c>
      <c r="L96" s="3">
        <v>0.98</v>
      </c>
      <c r="M96" s="3">
        <v>0.87</v>
      </c>
      <c r="N96" s="3">
        <v>1.45</v>
      </c>
      <c r="O96" s="3">
        <v>4.5199999999999996</v>
      </c>
      <c r="P96" s="3">
        <v>10.92</v>
      </c>
      <c r="Q96" s="3">
        <v>1.48</v>
      </c>
      <c r="R96" s="3" t="s">
        <v>188</v>
      </c>
      <c r="S96" s="3" t="s">
        <v>21</v>
      </c>
      <c r="T96" s="3">
        <v>5</v>
      </c>
    </row>
    <row r="97" spans="1:20" x14ac:dyDescent="0.35">
      <c r="A97" s="4" t="s">
        <v>189</v>
      </c>
      <c r="B97" s="7">
        <v>46223</v>
      </c>
      <c r="C97" s="7">
        <f>Delivered_data[[#This Row],[order_date]]-WEEKDAY(Delivered_data[[#This Row],[order_date]],2)+1</f>
        <v>46223</v>
      </c>
      <c r="D97" s="4" t="s">
        <v>23</v>
      </c>
      <c r="E97" s="4" t="s">
        <v>24</v>
      </c>
      <c r="F97" s="20">
        <f>_xlfn.XLOOKUP(Delivered_data[[#This Row],[store_id]],blinkit_stores!A:A,blinkit_stores!F:F,"not found")</f>
        <v>0.8571428571428571</v>
      </c>
      <c r="G97" s="8">
        <v>0.55555555555555558</v>
      </c>
      <c r="H97" s="8" t="str">
        <f>IF(AND(Delivered_data[[#This Row],[order_time]]&gt;=TIME(19,0,0),Delivered_data[[#This Row],[order_time]]&lt;=TIME(22,59,59)),"Peak","Non-Peak")</f>
        <v>Non-Peak</v>
      </c>
      <c r="I97" s="4">
        <v>3</v>
      </c>
      <c r="J97" s="4">
        <v>120</v>
      </c>
      <c r="K97" s="4">
        <v>2.21</v>
      </c>
      <c r="L97" s="4">
        <v>0.73</v>
      </c>
      <c r="M97" s="4">
        <v>1.29</v>
      </c>
      <c r="N97" s="4">
        <v>0.74</v>
      </c>
      <c r="O97" s="4">
        <v>7.14</v>
      </c>
      <c r="P97" s="4">
        <v>12.11</v>
      </c>
      <c r="Q97" s="4">
        <v>3.01</v>
      </c>
      <c r="R97" s="4" t="s">
        <v>73</v>
      </c>
      <c r="S97" s="4" t="s">
        <v>21</v>
      </c>
      <c r="T97" s="4">
        <v>4.9000000000000004</v>
      </c>
    </row>
    <row r="98" spans="1:20" x14ac:dyDescent="0.35">
      <c r="A98" s="3" t="s">
        <v>190</v>
      </c>
      <c r="B98" s="5">
        <v>46236</v>
      </c>
      <c r="C98" s="5">
        <f>Delivered_data[[#This Row],[order_date]]-WEEKDAY(Delivered_data[[#This Row],[order_date]],2)+1</f>
        <v>46230</v>
      </c>
      <c r="D98" s="3" t="s">
        <v>46</v>
      </c>
      <c r="E98" s="3" t="s">
        <v>47</v>
      </c>
      <c r="F98" s="19">
        <f>_xlfn.XLOOKUP(Delivered_data[[#This Row],[store_id]],blinkit_stores!A:A,blinkit_stores!F:F,"not found")</f>
        <v>1.5</v>
      </c>
      <c r="G98" s="6">
        <v>0.27569444444444446</v>
      </c>
      <c r="H98" s="6" t="str">
        <f>IF(AND(Delivered_data[[#This Row],[order_time]]&gt;=TIME(19,0,0),Delivered_data[[#This Row],[order_time]]&lt;=TIME(22,59,59)),"Peak","Non-Peak")</f>
        <v>Non-Peak</v>
      </c>
      <c r="I98" s="3">
        <v>3</v>
      </c>
      <c r="J98" s="3">
        <v>659.13</v>
      </c>
      <c r="K98" s="3">
        <v>1.93</v>
      </c>
      <c r="L98" s="3">
        <v>0.81</v>
      </c>
      <c r="M98" s="3">
        <v>0.65</v>
      </c>
      <c r="N98" s="3">
        <v>0.73</v>
      </c>
      <c r="O98" s="3">
        <v>6.26</v>
      </c>
      <c r="P98" s="3">
        <v>10.38</v>
      </c>
      <c r="Q98" s="3">
        <v>1.63</v>
      </c>
      <c r="R98" s="3" t="s">
        <v>186</v>
      </c>
      <c r="S98" s="3" t="s">
        <v>21</v>
      </c>
      <c r="T98" s="3">
        <v>5</v>
      </c>
    </row>
    <row r="99" spans="1:20" x14ac:dyDescent="0.35">
      <c r="A99" s="4" t="s">
        <v>191</v>
      </c>
      <c r="B99" s="7">
        <v>46231</v>
      </c>
      <c r="C99" s="7">
        <f>Delivered_data[[#This Row],[order_date]]-WEEKDAY(Delivered_data[[#This Row],[order_date]],2)+1</f>
        <v>46230</v>
      </c>
      <c r="D99" s="4" t="s">
        <v>46</v>
      </c>
      <c r="E99" s="4" t="s">
        <v>58</v>
      </c>
      <c r="F99" s="20">
        <f>_xlfn.XLOOKUP(Delivered_data[[#This Row],[store_id]],blinkit_stores!A:A,blinkit_stores!F:F,"not found")</f>
        <v>0.7142857142857143</v>
      </c>
      <c r="G99" s="8">
        <v>0.90277777777777779</v>
      </c>
      <c r="H99" s="8" t="str">
        <f>IF(AND(Delivered_data[[#This Row],[order_time]]&gt;=TIME(19,0,0),Delivered_data[[#This Row],[order_time]]&lt;=TIME(22,59,59)),"Peak","Non-Peak")</f>
        <v>Peak</v>
      </c>
      <c r="I99" s="4">
        <v>6</v>
      </c>
      <c r="J99" s="4">
        <v>632.63</v>
      </c>
      <c r="K99" s="4">
        <v>2.4900000000000002</v>
      </c>
      <c r="L99" s="4">
        <v>0.93</v>
      </c>
      <c r="M99" s="4">
        <v>1.73</v>
      </c>
      <c r="N99" s="4">
        <v>1.21</v>
      </c>
      <c r="O99" s="4">
        <v>7.51</v>
      </c>
      <c r="P99" s="4">
        <v>13.87</v>
      </c>
      <c r="Q99" s="4">
        <v>2.68</v>
      </c>
      <c r="R99" s="4" t="s">
        <v>20</v>
      </c>
      <c r="S99" s="4" t="s">
        <v>21</v>
      </c>
      <c r="T99" s="4">
        <v>4.7</v>
      </c>
    </row>
    <row r="100" spans="1:20" x14ac:dyDescent="0.35">
      <c r="A100" s="3" t="s">
        <v>192</v>
      </c>
      <c r="B100" s="5">
        <v>46228</v>
      </c>
      <c r="C100" s="5">
        <f>Delivered_data[[#This Row],[order_date]]-WEEKDAY(Delivered_data[[#This Row],[order_date]],2)+1</f>
        <v>46223</v>
      </c>
      <c r="D100" s="3" t="s">
        <v>23</v>
      </c>
      <c r="E100" s="3" t="s">
        <v>24</v>
      </c>
      <c r="F100" s="19">
        <f>_xlfn.XLOOKUP(Delivered_data[[#This Row],[store_id]],blinkit_stores!A:A,blinkit_stores!F:F,"not found")</f>
        <v>0.8571428571428571</v>
      </c>
      <c r="G100" s="6">
        <v>0.56597222222222221</v>
      </c>
      <c r="H100" s="6" t="str">
        <f>IF(AND(Delivered_data[[#This Row],[order_time]]&gt;=TIME(19,0,0),Delivered_data[[#This Row],[order_time]]&lt;=TIME(22,59,59)),"Peak","Non-Peak")</f>
        <v>Non-Peak</v>
      </c>
      <c r="I100" s="3">
        <v>3</v>
      </c>
      <c r="J100" s="3">
        <v>449.36</v>
      </c>
      <c r="K100" s="3">
        <v>1.91</v>
      </c>
      <c r="L100" s="3">
        <v>0.92</v>
      </c>
      <c r="M100" s="3">
        <v>1.03</v>
      </c>
      <c r="N100" s="3">
        <v>0.76</v>
      </c>
      <c r="O100" s="3">
        <v>6.52</v>
      </c>
      <c r="P100" s="3">
        <v>11.14</v>
      </c>
      <c r="Q100" s="3">
        <v>2.94</v>
      </c>
      <c r="R100" s="3" t="s">
        <v>152</v>
      </c>
      <c r="S100" s="3" t="s">
        <v>21</v>
      </c>
      <c r="T100" s="3">
        <v>5</v>
      </c>
    </row>
    <row r="101" spans="1:20" x14ac:dyDescent="0.35">
      <c r="A101" s="4" t="s">
        <v>193</v>
      </c>
      <c r="B101" s="7">
        <v>46233</v>
      </c>
      <c r="C101" s="7">
        <f>Delivered_data[[#This Row],[order_date]]-WEEKDAY(Delivered_data[[#This Row],[order_date]],2)+1</f>
        <v>46230</v>
      </c>
      <c r="D101" s="4" t="s">
        <v>46</v>
      </c>
      <c r="E101" s="4" t="s">
        <v>47</v>
      </c>
      <c r="F101" s="20">
        <f>_xlfn.XLOOKUP(Delivered_data[[#This Row],[store_id]],blinkit_stores!A:A,blinkit_stores!F:F,"not found")</f>
        <v>1.5</v>
      </c>
      <c r="G101" s="8">
        <v>0.98263888888888884</v>
      </c>
      <c r="H101" s="8" t="str">
        <f>IF(AND(Delivered_data[[#This Row],[order_time]]&gt;=TIME(19,0,0),Delivered_data[[#This Row],[order_time]]&lt;=TIME(22,59,59)),"Peak","Non-Peak")</f>
        <v>Non-Peak</v>
      </c>
      <c r="I101" s="4">
        <v>2</v>
      </c>
      <c r="J101" s="4">
        <v>512.05999999999995</v>
      </c>
      <c r="K101" s="4">
        <v>2.33</v>
      </c>
      <c r="L101" s="4">
        <v>0.71</v>
      </c>
      <c r="M101" s="4">
        <v>1.26</v>
      </c>
      <c r="N101" s="4">
        <v>0.87</v>
      </c>
      <c r="O101" s="4">
        <v>6.33</v>
      </c>
      <c r="P101" s="4">
        <v>11.5</v>
      </c>
      <c r="Q101" s="4">
        <v>2.17</v>
      </c>
      <c r="R101" s="4" t="s">
        <v>194</v>
      </c>
      <c r="S101" s="4" t="s">
        <v>21</v>
      </c>
      <c r="T101" s="4">
        <v>5</v>
      </c>
    </row>
    <row r="102" spans="1:20" x14ac:dyDescent="0.35">
      <c r="A102" s="3" t="s">
        <v>195</v>
      </c>
      <c r="B102" s="5">
        <v>46230</v>
      </c>
      <c r="C102" s="5">
        <f>Delivered_data[[#This Row],[order_date]]-WEEKDAY(Delivered_data[[#This Row],[order_date]],2)+1</f>
        <v>46230</v>
      </c>
      <c r="D102" s="3" t="s">
        <v>18</v>
      </c>
      <c r="E102" s="3" t="s">
        <v>42</v>
      </c>
      <c r="F102" s="19">
        <f>_xlfn.XLOOKUP(Delivered_data[[#This Row],[store_id]],blinkit_stores!A:A,blinkit_stores!F:F,"not found")</f>
        <v>0.625</v>
      </c>
      <c r="G102" s="6">
        <v>0.8041666666666667</v>
      </c>
      <c r="H102" s="6" t="str">
        <f>IF(AND(Delivered_data[[#This Row],[order_time]]&gt;=TIME(19,0,0),Delivered_data[[#This Row],[order_time]]&lt;=TIME(22,59,59)),"Peak","Non-Peak")</f>
        <v>Peak</v>
      </c>
      <c r="I102" s="3">
        <v>7</v>
      </c>
      <c r="J102" s="3">
        <v>592.87</v>
      </c>
      <c r="K102" s="3">
        <v>3.52</v>
      </c>
      <c r="L102" s="3">
        <v>1.1100000000000001</v>
      </c>
      <c r="M102" s="3">
        <v>1.8</v>
      </c>
      <c r="N102" s="3">
        <v>1.1499999999999999</v>
      </c>
      <c r="O102" s="3">
        <v>6.63</v>
      </c>
      <c r="P102" s="3">
        <v>14.21</v>
      </c>
      <c r="Q102" s="3">
        <v>2.86</v>
      </c>
      <c r="R102" s="3" t="s">
        <v>48</v>
      </c>
      <c r="S102" s="3" t="s">
        <v>21</v>
      </c>
      <c r="T102" s="3">
        <v>4.5</v>
      </c>
    </row>
    <row r="103" spans="1:20" x14ac:dyDescent="0.35">
      <c r="A103" s="4" t="s">
        <v>196</v>
      </c>
      <c r="B103" s="7">
        <v>46236</v>
      </c>
      <c r="C103" s="7">
        <f>Delivered_data[[#This Row],[order_date]]-WEEKDAY(Delivered_data[[#This Row],[order_date]],2)+1</f>
        <v>46230</v>
      </c>
      <c r="D103" s="4" t="s">
        <v>18</v>
      </c>
      <c r="E103" s="4" t="s">
        <v>19</v>
      </c>
      <c r="F103" s="20">
        <f>_xlfn.XLOOKUP(Delivered_data[[#This Row],[store_id]],blinkit_stores!A:A,blinkit_stores!F:F,"not found")</f>
        <v>0.375</v>
      </c>
      <c r="G103" s="8">
        <v>0.84583333333333333</v>
      </c>
      <c r="H103" s="8" t="str">
        <f>IF(AND(Delivered_data[[#This Row],[order_time]]&gt;=TIME(19,0,0),Delivered_data[[#This Row],[order_time]]&lt;=TIME(22,59,59)),"Peak","Non-Peak")</f>
        <v>Peak</v>
      </c>
      <c r="I103" s="4">
        <v>5</v>
      </c>
      <c r="J103" s="4">
        <v>218.74</v>
      </c>
      <c r="K103" s="4">
        <v>2.35</v>
      </c>
      <c r="L103" s="4">
        <v>0.91</v>
      </c>
      <c r="M103" s="4">
        <v>1.68</v>
      </c>
      <c r="N103" s="4">
        <v>1.41</v>
      </c>
      <c r="O103" s="4">
        <v>6.73</v>
      </c>
      <c r="P103" s="4">
        <v>13.08</v>
      </c>
      <c r="Q103" s="4">
        <v>1.99</v>
      </c>
      <c r="R103" s="4" t="s">
        <v>40</v>
      </c>
      <c r="S103" s="4" t="s">
        <v>21</v>
      </c>
      <c r="T103" s="4">
        <v>5</v>
      </c>
    </row>
    <row r="104" spans="1:20" x14ac:dyDescent="0.35">
      <c r="A104" s="3" t="s">
        <v>197</v>
      </c>
      <c r="B104" s="5">
        <v>46239</v>
      </c>
      <c r="C104" s="5">
        <f>Delivered_data[[#This Row],[order_date]]-WEEKDAY(Delivered_data[[#This Row],[order_date]],2)+1</f>
        <v>46237</v>
      </c>
      <c r="D104" s="3" t="s">
        <v>18</v>
      </c>
      <c r="E104" s="3" t="s">
        <v>42</v>
      </c>
      <c r="F104" s="19">
        <f>_xlfn.XLOOKUP(Delivered_data[[#This Row],[store_id]],blinkit_stores!A:A,blinkit_stores!F:F,"not found")</f>
        <v>0.625</v>
      </c>
      <c r="G104" s="6">
        <v>0.27777777777777779</v>
      </c>
      <c r="H104" s="6" t="str">
        <f>IF(AND(Delivered_data[[#This Row],[order_time]]&gt;=TIME(19,0,0),Delivered_data[[#This Row],[order_time]]&lt;=TIME(22,59,59)),"Peak","Non-Peak")</f>
        <v>Non-Peak</v>
      </c>
      <c r="I104" s="3">
        <v>4</v>
      </c>
      <c r="J104" s="3">
        <v>404.77</v>
      </c>
      <c r="K104" s="3">
        <v>2.99</v>
      </c>
      <c r="L104" s="3">
        <v>0.89</v>
      </c>
      <c r="M104" s="3">
        <v>1.61</v>
      </c>
      <c r="N104" s="3">
        <v>0.71</v>
      </c>
      <c r="O104" s="3">
        <v>5.57</v>
      </c>
      <c r="P104" s="3">
        <v>11.77</v>
      </c>
      <c r="Q104" s="3">
        <v>2.02</v>
      </c>
      <c r="R104" s="3" t="s">
        <v>198</v>
      </c>
      <c r="S104" s="3" t="s">
        <v>21</v>
      </c>
      <c r="T104" s="3">
        <v>5</v>
      </c>
    </row>
    <row r="105" spans="1:20" x14ac:dyDescent="0.35">
      <c r="A105" s="4" t="s">
        <v>199</v>
      </c>
      <c r="B105" s="7">
        <v>46241</v>
      </c>
      <c r="C105" s="7">
        <f>Delivered_data[[#This Row],[order_date]]-WEEKDAY(Delivered_data[[#This Row],[order_date]],2)+1</f>
        <v>46237</v>
      </c>
      <c r="D105" s="4" t="s">
        <v>23</v>
      </c>
      <c r="E105" s="4" t="s">
        <v>24</v>
      </c>
      <c r="F105" s="20">
        <f>_xlfn.XLOOKUP(Delivered_data[[#This Row],[store_id]],blinkit_stores!A:A,blinkit_stores!F:F,"not found")</f>
        <v>0.8571428571428571</v>
      </c>
      <c r="G105" s="8">
        <v>0.44374999999999998</v>
      </c>
      <c r="H105" s="8" t="str">
        <f>IF(AND(Delivered_data[[#This Row],[order_time]]&gt;=TIME(19,0,0),Delivered_data[[#This Row],[order_time]]&lt;=TIME(22,59,59)),"Peak","Non-Peak")</f>
        <v>Non-Peak</v>
      </c>
      <c r="I105" s="4">
        <v>6</v>
      </c>
      <c r="J105" s="4">
        <v>642.97</v>
      </c>
      <c r="K105" s="4">
        <v>2.95</v>
      </c>
      <c r="L105" s="4">
        <v>1.1299999999999999</v>
      </c>
      <c r="M105" s="4">
        <v>1.72</v>
      </c>
      <c r="N105" s="4">
        <v>1</v>
      </c>
      <c r="O105" s="4">
        <v>5.76</v>
      </c>
      <c r="P105" s="4">
        <v>12.56</v>
      </c>
      <c r="Q105" s="4">
        <v>2.0099999999999998</v>
      </c>
      <c r="R105" s="4" t="s">
        <v>83</v>
      </c>
      <c r="S105" s="4" t="s">
        <v>21</v>
      </c>
      <c r="T105" s="4">
        <v>5</v>
      </c>
    </row>
    <row r="106" spans="1:20" x14ac:dyDescent="0.35">
      <c r="A106" s="3" t="s">
        <v>200</v>
      </c>
      <c r="B106" s="5">
        <v>46240</v>
      </c>
      <c r="C106" s="5">
        <f>Delivered_data[[#This Row],[order_date]]-WEEKDAY(Delivered_data[[#This Row],[order_date]],2)+1</f>
        <v>46237</v>
      </c>
      <c r="D106" s="3" t="s">
        <v>23</v>
      </c>
      <c r="E106" s="3" t="s">
        <v>50</v>
      </c>
      <c r="F106" s="19">
        <f>_xlfn.XLOOKUP(Delivered_data[[#This Row],[store_id]],blinkit_stores!A:A,blinkit_stores!F:F,"not found")</f>
        <v>0.33333333333333331</v>
      </c>
      <c r="G106" s="6">
        <v>0.73333333333333328</v>
      </c>
      <c r="H106" s="6" t="str">
        <f>IF(AND(Delivered_data[[#This Row],[order_time]]&gt;=TIME(19,0,0),Delivered_data[[#This Row],[order_time]]&lt;=TIME(22,59,59)),"Peak","Non-Peak")</f>
        <v>Non-Peak</v>
      </c>
      <c r="I106" s="3">
        <v>6</v>
      </c>
      <c r="J106" s="3">
        <v>274.23</v>
      </c>
      <c r="K106" s="3">
        <v>3.17</v>
      </c>
      <c r="L106" s="3">
        <v>0.93</v>
      </c>
      <c r="M106" s="3">
        <v>1.45</v>
      </c>
      <c r="N106" s="3">
        <v>0.74</v>
      </c>
      <c r="O106" s="3">
        <v>5.8</v>
      </c>
      <c r="P106" s="3">
        <v>12.09</v>
      </c>
      <c r="Q106" s="3">
        <v>1.53</v>
      </c>
      <c r="R106" s="3" t="s">
        <v>56</v>
      </c>
      <c r="S106" s="3" t="s">
        <v>21</v>
      </c>
      <c r="T106" s="3">
        <v>4.2</v>
      </c>
    </row>
    <row r="107" spans="1:20" x14ac:dyDescent="0.35">
      <c r="A107" s="4" t="s">
        <v>201</v>
      </c>
      <c r="B107" s="7">
        <v>46243</v>
      </c>
      <c r="C107" s="7">
        <f>Delivered_data[[#This Row],[order_date]]-WEEKDAY(Delivered_data[[#This Row],[order_date]],2)+1</f>
        <v>46237</v>
      </c>
      <c r="D107" s="4" t="s">
        <v>18</v>
      </c>
      <c r="E107" s="4" t="s">
        <v>19</v>
      </c>
      <c r="F107" s="20">
        <f>_xlfn.XLOOKUP(Delivered_data[[#This Row],[store_id]],blinkit_stores!A:A,blinkit_stores!F:F,"not found")</f>
        <v>0.375</v>
      </c>
      <c r="G107" s="8">
        <v>0.47708333333333336</v>
      </c>
      <c r="H107" s="8" t="str">
        <f>IF(AND(Delivered_data[[#This Row],[order_time]]&gt;=TIME(19,0,0),Delivered_data[[#This Row],[order_time]]&lt;=TIME(22,59,59)),"Peak","Non-Peak")</f>
        <v>Non-Peak</v>
      </c>
      <c r="I107" s="4">
        <v>2</v>
      </c>
      <c r="J107" s="4">
        <v>552.84</v>
      </c>
      <c r="K107" s="4">
        <v>2.8</v>
      </c>
      <c r="L107" s="4">
        <v>0.63</v>
      </c>
      <c r="M107" s="4">
        <v>1.1399999999999999</v>
      </c>
      <c r="N107" s="4">
        <v>1.01</v>
      </c>
      <c r="O107" s="4">
        <v>5.15</v>
      </c>
      <c r="P107" s="4">
        <v>10.73</v>
      </c>
      <c r="Q107" s="4">
        <v>2.04</v>
      </c>
      <c r="R107" s="4" t="s">
        <v>202</v>
      </c>
      <c r="S107" s="4" t="s">
        <v>21</v>
      </c>
      <c r="T107" s="4">
        <v>4.3</v>
      </c>
    </row>
    <row r="108" spans="1:20" x14ac:dyDescent="0.35">
      <c r="A108" s="3" t="s">
        <v>203</v>
      </c>
      <c r="B108" s="5">
        <v>46243</v>
      </c>
      <c r="C108" s="5">
        <f>Delivered_data[[#This Row],[order_date]]-WEEKDAY(Delivered_data[[#This Row],[order_date]],2)+1</f>
        <v>46237</v>
      </c>
      <c r="D108" s="3" t="s">
        <v>18</v>
      </c>
      <c r="E108" s="3" t="s">
        <v>42</v>
      </c>
      <c r="F108" s="19">
        <f>_xlfn.XLOOKUP(Delivered_data[[#This Row],[store_id]],blinkit_stores!A:A,blinkit_stores!F:F,"not found")</f>
        <v>0.625</v>
      </c>
      <c r="G108" s="6">
        <v>0.31874999999999998</v>
      </c>
      <c r="H108" s="6" t="str">
        <f>IF(AND(Delivered_data[[#This Row],[order_time]]&gt;=TIME(19,0,0),Delivered_data[[#This Row],[order_time]]&lt;=TIME(22,59,59)),"Peak","Non-Peak")</f>
        <v>Non-Peak</v>
      </c>
      <c r="I108" s="3">
        <v>6</v>
      </c>
      <c r="J108" s="3">
        <v>255.82</v>
      </c>
      <c r="K108" s="3">
        <v>3.43</v>
      </c>
      <c r="L108" s="3">
        <v>0.99</v>
      </c>
      <c r="M108" s="3">
        <v>0.83</v>
      </c>
      <c r="N108" s="3">
        <v>0.74</v>
      </c>
      <c r="O108" s="3">
        <v>3.19</v>
      </c>
      <c r="P108" s="3">
        <v>9.18</v>
      </c>
      <c r="Q108" s="3">
        <v>0.81</v>
      </c>
      <c r="R108" s="3" t="s">
        <v>188</v>
      </c>
      <c r="S108" s="3" t="s">
        <v>21</v>
      </c>
      <c r="T108" s="3">
        <v>5</v>
      </c>
    </row>
    <row r="109" spans="1:20" x14ac:dyDescent="0.35">
      <c r="A109" s="4" t="s">
        <v>204</v>
      </c>
      <c r="B109" s="7">
        <v>46243</v>
      </c>
      <c r="C109" s="7">
        <f>Delivered_data[[#This Row],[order_date]]-WEEKDAY(Delivered_data[[#This Row],[order_date]],2)+1</f>
        <v>46237</v>
      </c>
      <c r="D109" s="4" t="s">
        <v>23</v>
      </c>
      <c r="E109" s="4" t="s">
        <v>24</v>
      </c>
      <c r="F109" s="20">
        <f>_xlfn.XLOOKUP(Delivered_data[[#This Row],[store_id]],blinkit_stores!A:A,blinkit_stores!F:F,"not found")</f>
        <v>0.8571428571428571</v>
      </c>
      <c r="G109" s="8">
        <v>0.66249999999999998</v>
      </c>
      <c r="H109" s="8" t="str">
        <f>IF(AND(Delivered_data[[#This Row],[order_time]]&gt;=TIME(19,0,0),Delivered_data[[#This Row],[order_time]]&lt;=TIME(22,59,59)),"Peak","Non-Peak")</f>
        <v>Non-Peak</v>
      </c>
      <c r="I109" s="4">
        <v>8</v>
      </c>
      <c r="J109" s="4">
        <v>583.96</v>
      </c>
      <c r="K109" s="4">
        <v>3.47</v>
      </c>
      <c r="L109" s="4">
        <v>1.03</v>
      </c>
      <c r="M109" s="4">
        <v>0.82</v>
      </c>
      <c r="N109" s="4">
        <v>0.83</v>
      </c>
      <c r="O109" s="4">
        <v>5.1100000000000003</v>
      </c>
      <c r="P109" s="4">
        <v>11.26</v>
      </c>
      <c r="Q109" s="4">
        <v>1.76</v>
      </c>
      <c r="R109" s="4" t="s">
        <v>205</v>
      </c>
      <c r="S109" s="4" t="s">
        <v>21</v>
      </c>
      <c r="T109" s="4">
        <v>4.9000000000000004</v>
      </c>
    </row>
    <row r="110" spans="1:20" x14ac:dyDescent="0.35">
      <c r="A110" s="3" t="s">
        <v>206</v>
      </c>
      <c r="B110" s="5">
        <v>46228</v>
      </c>
      <c r="C110" s="5">
        <f>Delivered_data[[#This Row],[order_date]]-WEEKDAY(Delivered_data[[#This Row],[order_date]],2)+1</f>
        <v>46223</v>
      </c>
      <c r="D110" s="3" t="s">
        <v>46</v>
      </c>
      <c r="E110" s="3" t="s">
        <v>58</v>
      </c>
      <c r="F110" s="19">
        <f>_xlfn.XLOOKUP(Delivered_data[[#This Row],[store_id]],blinkit_stores!A:A,blinkit_stores!F:F,"not found")</f>
        <v>0.7142857142857143</v>
      </c>
      <c r="G110" s="6">
        <v>0.32569444444444445</v>
      </c>
      <c r="H110" s="6" t="str">
        <f>IF(AND(Delivered_data[[#This Row],[order_time]]&gt;=TIME(19,0,0),Delivered_data[[#This Row],[order_time]]&lt;=TIME(22,59,59)),"Peak","Non-Peak")</f>
        <v>Non-Peak</v>
      </c>
      <c r="I110" s="3">
        <v>6</v>
      </c>
      <c r="J110" s="3">
        <v>493.58</v>
      </c>
      <c r="K110" s="3">
        <v>2.81</v>
      </c>
      <c r="L110" s="3">
        <v>0.93</v>
      </c>
      <c r="M110" s="3">
        <v>1.05</v>
      </c>
      <c r="N110" s="3">
        <v>0.62</v>
      </c>
      <c r="O110" s="3">
        <v>6.28</v>
      </c>
      <c r="P110" s="3">
        <v>11.69</v>
      </c>
      <c r="Q110" s="3">
        <v>1.94</v>
      </c>
      <c r="R110" s="3" t="s">
        <v>71</v>
      </c>
      <c r="S110" s="3" t="s">
        <v>21</v>
      </c>
      <c r="T110" s="3">
        <v>4.5</v>
      </c>
    </row>
    <row r="111" spans="1:20" x14ac:dyDescent="0.35">
      <c r="A111" s="4" t="s">
        <v>207</v>
      </c>
      <c r="B111" s="7">
        <v>46224</v>
      </c>
      <c r="C111" s="7">
        <f>Delivered_data[[#This Row],[order_date]]-WEEKDAY(Delivered_data[[#This Row],[order_date]],2)+1</f>
        <v>46223</v>
      </c>
      <c r="D111" s="4" t="s">
        <v>18</v>
      </c>
      <c r="E111" s="4" t="s">
        <v>31</v>
      </c>
      <c r="F111" s="20">
        <f>_xlfn.XLOOKUP(Delivered_data[[#This Row],[store_id]],blinkit_stores!A:A,blinkit_stores!F:F,"not found")</f>
        <v>0.7142857142857143</v>
      </c>
      <c r="G111" s="8">
        <v>0.97083333333333333</v>
      </c>
      <c r="H111" s="8" t="str">
        <f>IF(AND(Delivered_data[[#This Row],[order_time]]&gt;=TIME(19,0,0),Delivered_data[[#This Row],[order_time]]&lt;=TIME(22,59,59)),"Peak","Non-Peak")</f>
        <v>Non-Peak</v>
      </c>
      <c r="I111" s="4">
        <v>5</v>
      </c>
      <c r="J111" s="4">
        <v>209.28</v>
      </c>
      <c r="K111" s="4">
        <v>2.15</v>
      </c>
      <c r="L111" s="4">
        <v>0.89</v>
      </c>
      <c r="M111" s="4">
        <v>1.37</v>
      </c>
      <c r="N111" s="4">
        <v>0.85</v>
      </c>
      <c r="O111" s="4">
        <v>4.92</v>
      </c>
      <c r="P111" s="4">
        <v>10.18</v>
      </c>
      <c r="Q111" s="4">
        <v>1.97</v>
      </c>
      <c r="R111" s="4" t="s">
        <v>44</v>
      </c>
      <c r="S111" s="4" t="s">
        <v>21</v>
      </c>
      <c r="T111" s="4">
        <v>5</v>
      </c>
    </row>
    <row r="112" spans="1:20" x14ac:dyDescent="0.35">
      <c r="A112" s="3" t="s">
        <v>208</v>
      </c>
      <c r="B112" s="5">
        <v>46230</v>
      </c>
      <c r="C112" s="5">
        <f>Delivered_data[[#This Row],[order_date]]-WEEKDAY(Delivered_data[[#This Row],[order_date]],2)+1</f>
        <v>46230</v>
      </c>
      <c r="D112" s="3" t="s">
        <v>23</v>
      </c>
      <c r="E112" s="3" t="s">
        <v>35</v>
      </c>
      <c r="F112" s="19">
        <f>_xlfn.XLOOKUP(Delivered_data[[#This Row],[store_id]],blinkit_stores!A:A,blinkit_stores!F:F,"not found")</f>
        <v>0.5</v>
      </c>
      <c r="G112" s="6">
        <v>0.72569444444444442</v>
      </c>
      <c r="H112" s="6" t="str">
        <f>IF(AND(Delivered_data[[#This Row],[order_time]]&gt;=TIME(19,0,0),Delivered_data[[#This Row],[order_time]]&lt;=TIME(22,59,59)),"Peak","Non-Peak")</f>
        <v>Non-Peak</v>
      </c>
      <c r="I112" s="3">
        <v>5</v>
      </c>
      <c r="J112" s="3">
        <v>709.65</v>
      </c>
      <c r="K112" s="3">
        <v>2.65</v>
      </c>
      <c r="L112" s="3">
        <v>1.05</v>
      </c>
      <c r="M112" s="3">
        <v>1.83</v>
      </c>
      <c r="N112" s="3">
        <v>0.96</v>
      </c>
      <c r="O112" s="3">
        <v>4.21</v>
      </c>
      <c r="P112" s="3">
        <v>10.7</v>
      </c>
      <c r="Q112" s="3">
        <v>1.98</v>
      </c>
      <c r="R112" s="3" t="s">
        <v>127</v>
      </c>
      <c r="S112" s="3" t="s">
        <v>21</v>
      </c>
      <c r="T112" s="3">
        <v>5</v>
      </c>
    </row>
    <row r="113" spans="1:20" x14ac:dyDescent="0.35">
      <c r="A113" s="4" t="s">
        <v>209</v>
      </c>
      <c r="B113" s="7">
        <v>46228</v>
      </c>
      <c r="C113" s="7">
        <f>Delivered_data[[#This Row],[order_date]]-WEEKDAY(Delivered_data[[#This Row],[order_date]],2)+1</f>
        <v>46223</v>
      </c>
      <c r="D113" s="4" t="s">
        <v>46</v>
      </c>
      <c r="E113" s="4" t="s">
        <v>58</v>
      </c>
      <c r="F113" s="20">
        <f>_xlfn.XLOOKUP(Delivered_data[[#This Row],[store_id]],blinkit_stores!A:A,blinkit_stores!F:F,"not found")</f>
        <v>0.7142857142857143</v>
      </c>
      <c r="G113" s="8">
        <v>0.52013888888888893</v>
      </c>
      <c r="H113" s="8" t="str">
        <f>IF(AND(Delivered_data[[#This Row],[order_time]]&gt;=TIME(19,0,0),Delivered_data[[#This Row],[order_time]]&lt;=TIME(22,59,59)),"Peak","Non-Peak")</f>
        <v>Non-Peak</v>
      </c>
      <c r="I113" s="4">
        <v>1</v>
      </c>
      <c r="J113" s="4">
        <v>367.77</v>
      </c>
      <c r="K113" s="4">
        <v>1.95</v>
      </c>
      <c r="L113" s="4">
        <v>0.66</v>
      </c>
      <c r="M113" s="4">
        <v>1.1000000000000001</v>
      </c>
      <c r="N113" s="4">
        <v>0.45</v>
      </c>
      <c r="O113" s="4">
        <v>5.77</v>
      </c>
      <c r="P113" s="4">
        <v>9.93</v>
      </c>
      <c r="Q113" s="4">
        <v>2.14</v>
      </c>
      <c r="R113" s="4" t="s">
        <v>29</v>
      </c>
      <c r="S113" s="4" t="s">
        <v>21</v>
      </c>
      <c r="T113" s="4">
        <v>5</v>
      </c>
    </row>
    <row r="114" spans="1:20" x14ac:dyDescent="0.35">
      <c r="A114" s="3" t="s">
        <v>210</v>
      </c>
      <c r="B114" s="5">
        <v>46216</v>
      </c>
      <c r="C114" s="5">
        <f>Delivered_data[[#This Row],[order_date]]-WEEKDAY(Delivered_data[[#This Row],[order_date]],2)+1</f>
        <v>46216</v>
      </c>
      <c r="D114" s="3" t="s">
        <v>46</v>
      </c>
      <c r="E114" s="3" t="s">
        <v>47</v>
      </c>
      <c r="F114" s="19">
        <f>_xlfn.XLOOKUP(Delivered_data[[#This Row],[store_id]],blinkit_stores!A:A,blinkit_stores!F:F,"not found")</f>
        <v>1.5</v>
      </c>
      <c r="G114" s="6">
        <v>2.5694444444444443E-2</v>
      </c>
      <c r="H114" s="6" t="str">
        <f>IF(AND(Delivered_data[[#This Row],[order_time]]&gt;=TIME(19,0,0),Delivered_data[[#This Row],[order_time]]&lt;=TIME(22,59,59)),"Peak","Non-Peak")</f>
        <v>Non-Peak</v>
      </c>
      <c r="I114" s="3">
        <v>3</v>
      </c>
      <c r="J114" s="3">
        <v>354.15</v>
      </c>
      <c r="K114" s="3">
        <v>2.11</v>
      </c>
      <c r="L114" s="3">
        <v>0.81</v>
      </c>
      <c r="M114" s="3">
        <v>0.3</v>
      </c>
      <c r="N114" s="3">
        <v>0.56000000000000005</v>
      </c>
      <c r="O114" s="3">
        <v>7.08</v>
      </c>
      <c r="P114" s="3">
        <v>10.86</v>
      </c>
      <c r="Q114" s="3">
        <v>2.63</v>
      </c>
      <c r="R114" s="3" t="s">
        <v>59</v>
      </c>
      <c r="S114" s="3" t="s">
        <v>21</v>
      </c>
      <c r="T114" s="3">
        <v>4.4000000000000004</v>
      </c>
    </row>
    <row r="115" spans="1:20" x14ac:dyDescent="0.35">
      <c r="A115" s="4" t="s">
        <v>211</v>
      </c>
      <c r="B115" s="7">
        <v>46240</v>
      </c>
      <c r="C115" s="7">
        <f>Delivered_data[[#This Row],[order_date]]-WEEKDAY(Delivered_data[[#This Row],[order_date]],2)+1</f>
        <v>46237</v>
      </c>
      <c r="D115" s="4" t="s">
        <v>46</v>
      </c>
      <c r="E115" s="4" t="s">
        <v>58</v>
      </c>
      <c r="F115" s="20">
        <f>_xlfn.XLOOKUP(Delivered_data[[#This Row],[store_id]],blinkit_stores!A:A,blinkit_stores!F:F,"not found")</f>
        <v>0.7142857142857143</v>
      </c>
      <c r="G115" s="8">
        <v>0.15902777777777777</v>
      </c>
      <c r="H115" s="8" t="str">
        <f>IF(AND(Delivered_data[[#This Row],[order_time]]&gt;=TIME(19,0,0),Delivered_data[[#This Row],[order_time]]&lt;=TIME(22,59,59)),"Peak","Non-Peak")</f>
        <v>Non-Peak</v>
      </c>
      <c r="I115" s="4">
        <v>6</v>
      </c>
      <c r="J115" s="4">
        <v>536.1</v>
      </c>
      <c r="K115" s="4">
        <v>3.07</v>
      </c>
      <c r="L115" s="4">
        <v>1.1299999999999999</v>
      </c>
      <c r="M115" s="4">
        <v>1.48</v>
      </c>
      <c r="N115" s="4">
        <v>0.78</v>
      </c>
      <c r="O115" s="4">
        <v>7.99</v>
      </c>
      <c r="P115" s="4">
        <v>14.45</v>
      </c>
      <c r="Q115" s="4">
        <v>2.99</v>
      </c>
      <c r="R115" s="4" t="s">
        <v>212</v>
      </c>
      <c r="S115" s="4" t="s">
        <v>21</v>
      </c>
      <c r="T115" s="4">
        <v>4.4000000000000004</v>
      </c>
    </row>
    <row r="116" spans="1:20" x14ac:dyDescent="0.35">
      <c r="A116" s="3" t="s">
        <v>213</v>
      </c>
      <c r="B116" s="5">
        <v>46222</v>
      </c>
      <c r="C116" s="5">
        <f>Delivered_data[[#This Row],[order_date]]-WEEKDAY(Delivered_data[[#This Row],[order_date]],2)+1</f>
        <v>46216</v>
      </c>
      <c r="D116" s="3" t="s">
        <v>23</v>
      </c>
      <c r="E116" s="3" t="s">
        <v>50</v>
      </c>
      <c r="F116" s="19">
        <f>_xlfn.XLOOKUP(Delivered_data[[#This Row],[store_id]],blinkit_stores!A:A,blinkit_stores!F:F,"not found")</f>
        <v>0.33333333333333331</v>
      </c>
      <c r="G116" s="6">
        <v>0.96388888888888891</v>
      </c>
      <c r="H116" s="6" t="str">
        <f>IF(AND(Delivered_data[[#This Row],[order_time]]&gt;=TIME(19,0,0),Delivered_data[[#This Row],[order_time]]&lt;=TIME(22,59,59)),"Peak","Non-Peak")</f>
        <v>Non-Peak</v>
      </c>
      <c r="I116" s="3">
        <v>3</v>
      </c>
      <c r="J116" s="3">
        <v>706.75</v>
      </c>
      <c r="K116" s="3">
        <v>2.4900000000000002</v>
      </c>
      <c r="L116" s="3">
        <v>0.77</v>
      </c>
      <c r="M116" s="3">
        <v>0.4</v>
      </c>
      <c r="N116" s="3">
        <v>0.32</v>
      </c>
      <c r="O116" s="3">
        <v>4.96</v>
      </c>
      <c r="P116" s="3">
        <v>8.94</v>
      </c>
      <c r="Q116" s="3">
        <v>1.62</v>
      </c>
      <c r="R116" s="3" t="s">
        <v>53</v>
      </c>
      <c r="S116" s="3" t="s">
        <v>21</v>
      </c>
      <c r="T116" s="3">
        <v>4.8</v>
      </c>
    </row>
    <row r="117" spans="1:20" x14ac:dyDescent="0.35">
      <c r="A117" s="4" t="s">
        <v>214</v>
      </c>
      <c r="B117" s="7">
        <v>46224</v>
      </c>
      <c r="C117" s="7">
        <f>Delivered_data[[#This Row],[order_date]]-WEEKDAY(Delivered_data[[#This Row],[order_date]],2)+1</f>
        <v>46223</v>
      </c>
      <c r="D117" s="4" t="s">
        <v>18</v>
      </c>
      <c r="E117" s="4" t="s">
        <v>31</v>
      </c>
      <c r="F117" s="20">
        <f>_xlfn.XLOOKUP(Delivered_data[[#This Row],[store_id]],blinkit_stores!A:A,blinkit_stores!F:F,"not found")</f>
        <v>0.7142857142857143</v>
      </c>
      <c r="G117" s="8">
        <v>0.39027777777777778</v>
      </c>
      <c r="H117" s="8" t="str">
        <f>IF(AND(Delivered_data[[#This Row],[order_time]]&gt;=TIME(19,0,0),Delivered_data[[#This Row],[order_time]]&lt;=TIME(22,59,59)),"Peak","Non-Peak")</f>
        <v>Non-Peak</v>
      </c>
      <c r="I117" s="4">
        <v>6</v>
      </c>
      <c r="J117" s="4">
        <v>317.14999999999998</v>
      </c>
      <c r="K117" s="4">
        <v>3.04</v>
      </c>
      <c r="L117" s="4">
        <v>1.08</v>
      </c>
      <c r="M117" s="4">
        <v>1.0900000000000001</v>
      </c>
      <c r="N117" s="4">
        <v>0.63</v>
      </c>
      <c r="O117" s="4">
        <v>4.21</v>
      </c>
      <c r="P117" s="4">
        <v>10.050000000000001</v>
      </c>
      <c r="Q117" s="4">
        <v>1.1200000000000001</v>
      </c>
      <c r="R117" s="4" t="s">
        <v>59</v>
      </c>
      <c r="S117" s="4" t="s">
        <v>21</v>
      </c>
      <c r="T117" s="4">
        <v>4.8</v>
      </c>
    </row>
    <row r="118" spans="1:20" x14ac:dyDescent="0.35">
      <c r="A118" s="3" t="s">
        <v>215</v>
      </c>
      <c r="B118" s="5">
        <v>46239</v>
      </c>
      <c r="C118" s="5">
        <f>Delivered_data[[#This Row],[order_date]]-WEEKDAY(Delivered_data[[#This Row],[order_date]],2)+1</f>
        <v>46237</v>
      </c>
      <c r="D118" s="3" t="s">
        <v>18</v>
      </c>
      <c r="E118" s="3" t="s">
        <v>42</v>
      </c>
      <c r="F118" s="19">
        <f>_xlfn.XLOOKUP(Delivered_data[[#This Row],[store_id]],blinkit_stores!A:A,blinkit_stores!F:F,"not found")</f>
        <v>0.625</v>
      </c>
      <c r="G118" s="6">
        <v>0.3034722222222222</v>
      </c>
      <c r="H118" s="6" t="str">
        <f>IF(AND(Delivered_data[[#This Row],[order_time]]&gt;=TIME(19,0,0),Delivered_data[[#This Row],[order_time]]&lt;=TIME(22,59,59)),"Peak","Non-Peak")</f>
        <v>Non-Peak</v>
      </c>
      <c r="I118" s="3">
        <v>1</v>
      </c>
      <c r="J118" s="3">
        <v>511.1</v>
      </c>
      <c r="K118" s="3">
        <v>1.79</v>
      </c>
      <c r="L118" s="3">
        <v>0.62</v>
      </c>
      <c r="M118" s="3">
        <v>1.2</v>
      </c>
      <c r="N118" s="3">
        <v>0.85</v>
      </c>
      <c r="O118" s="3">
        <v>5.29</v>
      </c>
      <c r="P118" s="3">
        <v>9.75</v>
      </c>
      <c r="Q118" s="3">
        <v>1.26</v>
      </c>
      <c r="R118" s="3" t="s">
        <v>148</v>
      </c>
      <c r="S118" s="3" t="s">
        <v>21</v>
      </c>
      <c r="T118" s="3">
        <v>4.8</v>
      </c>
    </row>
    <row r="119" spans="1:20" x14ac:dyDescent="0.35">
      <c r="A119" s="4" t="s">
        <v>216</v>
      </c>
      <c r="B119" s="7">
        <v>46216</v>
      </c>
      <c r="C119" s="7">
        <f>Delivered_data[[#This Row],[order_date]]-WEEKDAY(Delivered_data[[#This Row],[order_date]],2)+1</f>
        <v>46216</v>
      </c>
      <c r="D119" s="4" t="s">
        <v>18</v>
      </c>
      <c r="E119" s="4" t="s">
        <v>42</v>
      </c>
      <c r="F119" s="20">
        <f>_xlfn.XLOOKUP(Delivered_data[[#This Row],[store_id]],blinkit_stores!A:A,blinkit_stores!F:F,"not found")</f>
        <v>0.625</v>
      </c>
      <c r="G119" s="8">
        <v>0.90694444444444444</v>
      </c>
      <c r="H119" s="8" t="str">
        <f>IF(AND(Delivered_data[[#This Row],[order_time]]&gt;=TIME(19,0,0),Delivered_data[[#This Row],[order_time]]&lt;=TIME(22,59,59)),"Peak","Non-Peak")</f>
        <v>Peak</v>
      </c>
      <c r="I119" s="4">
        <v>3</v>
      </c>
      <c r="J119" s="4">
        <v>577.19000000000005</v>
      </c>
      <c r="K119" s="4">
        <v>2.52</v>
      </c>
      <c r="L119" s="4">
        <v>0.82</v>
      </c>
      <c r="M119" s="4">
        <v>2.35</v>
      </c>
      <c r="N119" s="4">
        <v>1.24</v>
      </c>
      <c r="O119" s="4">
        <v>5.14</v>
      </c>
      <c r="P119" s="4">
        <v>12.07</v>
      </c>
      <c r="Q119" s="4">
        <v>2.0099999999999998</v>
      </c>
      <c r="R119" s="4" t="s">
        <v>29</v>
      </c>
      <c r="S119" s="4" t="s">
        <v>21</v>
      </c>
      <c r="T119" s="4">
        <v>4.5</v>
      </c>
    </row>
    <row r="120" spans="1:20" x14ac:dyDescent="0.35">
      <c r="A120" s="3" t="s">
        <v>217</v>
      </c>
      <c r="B120" s="5">
        <v>46227</v>
      </c>
      <c r="C120" s="5">
        <f>Delivered_data[[#This Row],[order_date]]-WEEKDAY(Delivered_data[[#This Row],[order_date]],2)+1</f>
        <v>46223</v>
      </c>
      <c r="D120" s="3" t="s">
        <v>46</v>
      </c>
      <c r="E120" s="3" t="s">
        <v>58</v>
      </c>
      <c r="F120" s="19">
        <f>_xlfn.XLOOKUP(Delivered_data[[#This Row],[store_id]],blinkit_stores!A:A,blinkit_stores!F:F,"not found")</f>
        <v>0.7142857142857143</v>
      </c>
      <c r="G120" s="6">
        <v>1.8055555555555554E-2</v>
      </c>
      <c r="H120" s="6" t="str">
        <f>IF(AND(Delivered_data[[#This Row],[order_time]]&gt;=TIME(19,0,0),Delivered_data[[#This Row],[order_time]]&lt;=TIME(22,59,59)),"Peak","Non-Peak")</f>
        <v>Non-Peak</v>
      </c>
      <c r="I120" s="3">
        <v>2</v>
      </c>
      <c r="J120" s="3">
        <v>624.76</v>
      </c>
      <c r="K120" s="3">
        <v>2.39</v>
      </c>
      <c r="L120" s="3">
        <v>0.64</v>
      </c>
      <c r="M120" s="3">
        <v>1.96</v>
      </c>
      <c r="N120" s="3">
        <v>0.75</v>
      </c>
      <c r="O120" s="3">
        <v>5.4</v>
      </c>
      <c r="P120" s="3">
        <v>11.14</v>
      </c>
      <c r="Q120" s="3">
        <v>1.88</v>
      </c>
      <c r="R120" s="3" t="s">
        <v>51</v>
      </c>
      <c r="S120" s="3" t="s">
        <v>21</v>
      </c>
      <c r="T120" s="3">
        <v>4.3</v>
      </c>
    </row>
    <row r="121" spans="1:20" x14ac:dyDescent="0.35">
      <c r="A121" s="4" t="s">
        <v>218</v>
      </c>
      <c r="B121" s="7">
        <v>46223</v>
      </c>
      <c r="C121" s="7">
        <f>Delivered_data[[#This Row],[order_date]]-WEEKDAY(Delivered_data[[#This Row],[order_date]],2)+1</f>
        <v>46223</v>
      </c>
      <c r="D121" s="4" t="s">
        <v>18</v>
      </c>
      <c r="E121" s="4" t="s">
        <v>42</v>
      </c>
      <c r="F121" s="20">
        <f>_xlfn.XLOOKUP(Delivered_data[[#This Row],[store_id]],blinkit_stores!A:A,blinkit_stores!F:F,"not found")</f>
        <v>0.625</v>
      </c>
      <c r="G121" s="8">
        <v>0.15625</v>
      </c>
      <c r="H121" s="8" t="str">
        <f>IF(AND(Delivered_data[[#This Row],[order_time]]&gt;=TIME(19,0,0),Delivered_data[[#This Row],[order_time]]&lt;=TIME(22,59,59)),"Peak","Non-Peak")</f>
        <v>Non-Peak</v>
      </c>
      <c r="I121" s="4">
        <v>3</v>
      </c>
      <c r="J121" s="4">
        <v>531.76</v>
      </c>
      <c r="K121" s="4">
        <v>2.08</v>
      </c>
      <c r="L121" s="4">
        <v>0.5</v>
      </c>
      <c r="M121" s="4">
        <v>1.08</v>
      </c>
      <c r="N121" s="4">
        <v>0.42</v>
      </c>
      <c r="O121" s="4">
        <v>5.15</v>
      </c>
      <c r="P121" s="4">
        <v>9.23</v>
      </c>
      <c r="Q121" s="4">
        <v>1.51</v>
      </c>
      <c r="R121" s="4" t="s">
        <v>219</v>
      </c>
      <c r="S121" s="4" t="s">
        <v>21</v>
      </c>
      <c r="T121" s="4">
        <v>5</v>
      </c>
    </row>
    <row r="122" spans="1:20" x14ac:dyDescent="0.35">
      <c r="A122" s="3" t="s">
        <v>220</v>
      </c>
      <c r="B122" s="5">
        <v>46239</v>
      </c>
      <c r="C122" s="5">
        <f>Delivered_data[[#This Row],[order_date]]-WEEKDAY(Delivered_data[[#This Row],[order_date]],2)+1</f>
        <v>46237</v>
      </c>
      <c r="D122" s="3" t="s">
        <v>46</v>
      </c>
      <c r="E122" s="3" t="s">
        <v>47</v>
      </c>
      <c r="F122" s="19">
        <f>_xlfn.XLOOKUP(Delivered_data[[#This Row],[store_id]],blinkit_stores!A:A,blinkit_stores!F:F,"not found")</f>
        <v>1.5</v>
      </c>
      <c r="G122" s="6">
        <v>0.90277777777777779</v>
      </c>
      <c r="H122" s="6" t="str">
        <f>IF(AND(Delivered_data[[#This Row],[order_time]]&gt;=TIME(19,0,0),Delivered_data[[#This Row],[order_time]]&lt;=TIME(22,59,59)),"Peak","Non-Peak")</f>
        <v>Peak</v>
      </c>
      <c r="I122" s="3">
        <v>5</v>
      </c>
      <c r="J122" s="3">
        <v>433.93</v>
      </c>
      <c r="K122" s="3">
        <v>3.39</v>
      </c>
      <c r="L122" s="3">
        <v>0.93</v>
      </c>
      <c r="M122" s="3">
        <v>1.95</v>
      </c>
      <c r="N122" s="3">
        <v>1.06</v>
      </c>
      <c r="O122" s="3">
        <v>5.28</v>
      </c>
      <c r="P122" s="3">
        <v>12.61</v>
      </c>
      <c r="Q122" s="3">
        <v>1.28</v>
      </c>
      <c r="R122" s="3" t="s">
        <v>212</v>
      </c>
      <c r="S122" s="3" t="s">
        <v>21</v>
      </c>
      <c r="T122" s="3">
        <v>4.4000000000000004</v>
      </c>
    </row>
    <row r="123" spans="1:20" x14ac:dyDescent="0.35">
      <c r="A123" s="4" t="s">
        <v>221</v>
      </c>
      <c r="B123" s="7">
        <v>46226</v>
      </c>
      <c r="C123" s="7">
        <f>Delivered_data[[#This Row],[order_date]]-WEEKDAY(Delivered_data[[#This Row],[order_date]],2)+1</f>
        <v>46223</v>
      </c>
      <c r="D123" s="4" t="s">
        <v>46</v>
      </c>
      <c r="E123" s="4" t="s">
        <v>58</v>
      </c>
      <c r="F123" s="20">
        <f>_xlfn.XLOOKUP(Delivered_data[[#This Row],[store_id]],blinkit_stores!A:A,blinkit_stores!F:F,"not found")</f>
        <v>0.7142857142857143</v>
      </c>
      <c r="G123" s="8">
        <v>0.55347222222222225</v>
      </c>
      <c r="H123" s="8" t="str">
        <f>IF(AND(Delivered_data[[#This Row],[order_time]]&gt;=TIME(19,0,0),Delivered_data[[#This Row],[order_time]]&lt;=TIME(22,59,59)),"Peak","Non-Peak")</f>
        <v>Non-Peak</v>
      </c>
      <c r="I123" s="4">
        <v>4</v>
      </c>
      <c r="J123" s="4">
        <v>351.03</v>
      </c>
      <c r="K123" s="4">
        <v>2.65</v>
      </c>
      <c r="L123" s="4">
        <v>1.04</v>
      </c>
      <c r="M123" s="4">
        <v>1.06</v>
      </c>
      <c r="N123" s="4">
        <v>0.85</v>
      </c>
      <c r="O123" s="4">
        <v>5.19</v>
      </c>
      <c r="P123" s="4">
        <v>10.79</v>
      </c>
      <c r="Q123" s="4">
        <v>1.79</v>
      </c>
      <c r="R123" s="4" t="s">
        <v>167</v>
      </c>
      <c r="S123" s="4" t="s">
        <v>21</v>
      </c>
      <c r="T123" s="4">
        <v>3.6</v>
      </c>
    </row>
    <row r="124" spans="1:20" x14ac:dyDescent="0.35">
      <c r="A124" s="3" t="s">
        <v>222</v>
      </c>
      <c r="B124" s="5">
        <v>46234</v>
      </c>
      <c r="C124" s="5">
        <f>Delivered_data[[#This Row],[order_date]]-WEEKDAY(Delivered_data[[#This Row],[order_date]],2)+1</f>
        <v>46230</v>
      </c>
      <c r="D124" s="3" t="s">
        <v>46</v>
      </c>
      <c r="E124" s="3" t="s">
        <v>58</v>
      </c>
      <c r="F124" s="19">
        <f>_xlfn.XLOOKUP(Delivered_data[[#This Row],[store_id]],blinkit_stores!A:A,blinkit_stores!F:F,"not found")</f>
        <v>0.7142857142857143</v>
      </c>
      <c r="G124" s="6">
        <v>0.19652777777777777</v>
      </c>
      <c r="H124" s="6" t="str">
        <f>IF(AND(Delivered_data[[#This Row],[order_time]]&gt;=TIME(19,0,0),Delivered_data[[#This Row],[order_time]]&lt;=TIME(22,59,59)),"Peak","Non-Peak")</f>
        <v>Non-Peak</v>
      </c>
      <c r="I124" s="3">
        <v>5</v>
      </c>
      <c r="J124" s="3">
        <v>515.51</v>
      </c>
      <c r="K124" s="3">
        <v>2.91</v>
      </c>
      <c r="L124" s="3">
        <v>1.06</v>
      </c>
      <c r="M124" s="3">
        <v>1.3</v>
      </c>
      <c r="N124" s="3">
        <v>1.17</v>
      </c>
      <c r="O124" s="3">
        <v>6.38</v>
      </c>
      <c r="P124" s="3">
        <v>12.82</v>
      </c>
      <c r="Q124" s="3">
        <v>2.36</v>
      </c>
      <c r="R124" s="3" t="s">
        <v>90</v>
      </c>
      <c r="S124" s="3" t="s">
        <v>21</v>
      </c>
      <c r="T124" s="3">
        <v>5</v>
      </c>
    </row>
    <row r="125" spans="1:20" x14ac:dyDescent="0.35">
      <c r="A125" s="4" t="s">
        <v>225</v>
      </c>
      <c r="B125" s="7">
        <v>46223</v>
      </c>
      <c r="C125" s="7">
        <f>Delivered_data[[#This Row],[order_date]]-WEEKDAY(Delivered_data[[#This Row],[order_date]],2)+1</f>
        <v>46223</v>
      </c>
      <c r="D125" s="4" t="s">
        <v>23</v>
      </c>
      <c r="E125" s="4" t="s">
        <v>24</v>
      </c>
      <c r="F125" s="20">
        <f>_xlfn.XLOOKUP(Delivered_data[[#This Row],[store_id]],blinkit_stores!A:A,blinkit_stores!F:F,"not found")</f>
        <v>0.8571428571428571</v>
      </c>
      <c r="G125" s="8">
        <v>0.66597222222222219</v>
      </c>
      <c r="H125" s="8" t="str">
        <f>IF(AND(Delivered_data[[#This Row],[order_time]]&gt;=TIME(19,0,0),Delivered_data[[#This Row],[order_time]]&lt;=TIME(22,59,59)),"Peak","Non-Peak")</f>
        <v>Non-Peak</v>
      </c>
      <c r="I125" s="4">
        <v>8</v>
      </c>
      <c r="J125" s="4">
        <v>120</v>
      </c>
      <c r="K125" s="4">
        <v>3.64</v>
      </c>
      <c r="L125" s="4">
        <v>1.34</v>
      </c>
      <c r="M125" s="4">
        <v>1.5</v>
      </c>
      <c r="N125" s="4">
        <v>0.33</v>
      </c>
      <c r="O125" s="4">
        <v>4.97</v>
      </c>
      <c r="P125" s="4">
        <v>11.78</v>
      </c>
      <c r="Q125" s="4">
        <v>1.7</v>
      </c>
      <c r="R125" s="4" t="s">
        <v>226</v>
      </c>
      <c r="S125" s="4" t="s">
        <v>21</v>
      </c>
      <c r="T125" s="4">
        <v>4.5999999999999996</v>
      </c>
    </row>
    <row r="126" spans="1:20" x14ac:dyDescent="0.35">
      <c r="A126" s="3" t="s">
        <v>227</v>
      </c>
      <c r="B126" s="5">
        <v>46218</v>
      </c>
      <c r="C126" s="5">
        <f>Delivered_data[[#This Row],[order_date]]-WEEKDAY(Delivered_data[[#This Row],[order_date]],2)+1</f>
        <v>46216</v>
      </c>
      <c r="D126" s="3" t="s">
        <v>23</v>
      </c>
      <c r="E126" s="3" t="s">
        <v>24</v>
      </c>
      <c r="F126" s="19">
        <f>_xlfn.XLOOKUP(Delivered_data[[#This Row],[store_id]],blinkit_stores!A:A,blinkit_stores!F:F,"not found")</f>
        <v>0.8571428571428571</v>
      </c>
      <c r="G126" s="6">
        <v>0.31388888888888888</v>
      </c>
      <c r="H126" s="6" t="str">
        <f>IF(AND(Delivered_data[[#This Row],[order_time]]&gt;=TIME(19,0,0),Delivered_data[[#This Row],[order_time]]&lt;=TIME(22,59,59)),"Peak","Non-Peak")</f>
        <v>Non-Peak</v>
      </c>
      <c r="I126" s="3">
        <v>2</v>
      </c>
      <c r="J126" s="3">
        <v>578.58000000000004</v>
      </c>
      <c r="K126" s="3">
        <v>2.57</v>
      </c>
      <c r="L126" s="3">
        <v>0.72</v>
      </c>
      <c r="M126" s="3">
        <v>0.83</v>
      </c>
      <c r="N126" s="3">
        <v>0.89</v>
      </c>
      <c r="O126" s="3">
        <v>5.79</v>
      </c>
      <c r="P126" s="3">
        <v>10.8</v>
      </c>
      <c r="Q126" s="3">
        <v>1.83</v>
      </c>
      <c r="R126" s="3" t="s">
        <v>167</v>
      </c>
      <c r="S126" s="3" t="s">
        <v>21</v>
      </c>
      <c r="T126" s="3">
        <v>4.9000000000000004</v>
      </c>
    </row>
    <row r="127" spans="1:20" x14ac:dyDescent="0.35">
      <c r="A127" s="4" t="s">
        <v>228</v>
      </c>
      <c r="B127" s="7">
        <v>46218</v>
      </c>
      <c r="C127" s="7">
        <f>Delivered_data[[#This Row],[order_date]]-WEEKDAY(Delivered_data[[#This Row],[order_date]],2)+1</f>
        <v>46216</v>
      </c>
      <c r="D127" s="4" t="s">
        <v>46</v>
      </c>
      <c r="E127" s="4" t="s">
        <v>47</v>
      </c>
      <c r="F127" s="20">
        <f>_xlfn.XLOOKUP(Delivered_data[[#This Row],[store_id]],blinkit_stores!A:A,blinkit_stores!F:F,"not found")</f>
        <v>1.5</v>
      </c>
      <c r="G127" s="8">
        <v>0.70763888888888893</v>
      </c>
      <c r="H127" s="8" t="str">
        <f>IF(AND(Delivered_data[[#This Row],[order_time]]&gt;=TIME(19,0,0),Delivered_data[[#This Row],[order_time]]&lt;=TIME(22,59,59)),"Peak","Non-Peak")</f>
        <v>Non-Peak</v>
      </c>
      <c r="I127" s="4">
        <v>5</v>
      </c>
      <c r="J127" s="4">
        <v>662.71</v>
      </c>
      <c r="K127" s="4">
        <v>3</v>
      </c>
      <c r="L127" s="4">
        <v>0.97</v>
      </c>
      <c r="M127" s="4">
        <v>0.92</v>
      </c>
      <c r="N127" s="4">
        <v>0.62</v>
      </c>
      <c r="O127" s="4">
        <v>4.28</v>
      </c>
      <c r="P127" s="4">
        <v>9.7899999999999991</v>
      </c>
      <c r="Q127" s="4">
        <v>1.37</v>
      </c>
      <c r="R127" s="4" t="s">
        <v>229</v>
      </c>
      <c r="S127" s="4" t="s">
        <v>21</v>
      </c>
      <c r="T127" s="4">
        <v>4.5</v>
      </c>
    </row>
    <row r="128" spans="1:20" x14ac:dyDescent="0.35">
      <c r="A128" s="3" t="s">
        <v>230</v>
      </c>
      <c r="B128" s="5">
        <v>46216</v>
      </c>
      <c r="C128" s="5">
        <f>Delivered_data[[#This Row],[order_date]]-WEEKDAY(Delivered_data[[#This Row],[order_date]],2)+1</f>
        <v>46216</v>
      </c>
      <c r="D128" s="3" t="s">
        <v>23</v>
      </c>
      <c r="E128" s="3" t="s">
        <v>35</v>
      </c>
      <c r="F128" s="19">
        <f>_xlfn.XLOOKUP(Delivered_data[[#This Row],[store_id]],blinkit_stores!A:A,blinkit_stores!F:F,"not found")</f>
        <v>0.5</v>
      </c>
      <c r="G128" s="6">
        <v>0.56597222222222221</v>
      </c>
      <c r="H128" s="6" t="str">
        <f>IF(AND(Delivered_data[[#This Row],[order_time]]&gt;=TIME(19,0,0),Delivered_data[[#This Row],[order_time]]&lt;=TIME(22,59,59)),"Peak","Non-Peak")</f>
        <v>Non-Peak</v>
      </c>
      <c r="I128" s="3">
        <v>7</v>
      </c>
      <c r="J128" s="3">
        <v>120</v>
      </c>
      <c r="K128" s="3">
        <v>3.13</v>
      </c>
      <c r="L128" s="3">
        <v>1.04</v>
      </c>
      <c r="M128" s="3">
        <v>1.33</v>
      </c>
      <c r="N128" s="3">
        <v>0.39</v>
      </c>
      <c r="O128" s="3">
        <v>6.1</v>
      </c>
      <c r="P128" s="3">
        <v>11.99</v>
      </c>
      <c r="Q128" s="3">
        <v>2.17</v>
      </c>
      <c r="R128" s="3" t="s">
        <v>114</v>
      </c>
      <c r="S128" s="3" t="s">
        <v>21</v>
      </c>
      <c r="T128" s="3">
        <v>5</v>
      </c>
    </row>
    <row r="129" spans="1:20" x14ac:dyDescent="0.35">
      <c r="A129" s="4" t="s">
        <v>231</v>
      </c>
      <c r="B129" s="7">
        <v>46242</v>
      </c>
      <c r="C129" s="7">
        <f>Delivered_data[[#This Row],[order_date]]-WEEKDAY(Delivered_data[[#This Row],[order_date]],2)+1</f>
        <v>46237</v>
      </c>
      <c r="D129" s="4" t="s">
        <v>18</v>
      </c>
      <c r="E129" s="4" t="s">
        <v>31</v>
      </c>
      <c r="F129" s="20">
        <f>_xlfn.XLOOKUP(Delivered_data[[#This Row],[store_id]],blinkit_stores!A:A,blinkit_stores!F:F,"not found")</f>
        <v>0.7142857142857143</v>
      </c>
      <c r="G129" s="8">
        <v>0.45694444444444443</v>
      </c>
      <c r="H129" s="8" t="str">
        <f>IF(AND(Delivered_data[[#This Row],[order_time]]&gt;=TIME(19,0,0),Delivered_data[[#This Row],[order_time]]&lt;=TIME(22,59,59)),"Peak","Non-Peak")</f>
        <v>Non-Peak</v>
      </c>
      <c r="I129" s="4">
        <v>6</v>
      </c>
      <c r="J129" s="4">
        <v>318.25</v>
      </c>
      <c r="K129" s="4">
        <v>3.25</v>
      </c>
      <c r="L129" s="4">
        <v>0.99</v>
      </c>
      <c r="M129" s="4">
        <v>1.61</v>
      </c>
      <c r="N129" s="4">
        <v>1.01</v>
      </c>
      <c r="O129" s="4">
        <v>5.18</v>
      </c>
      <c r="P129" s="4">
        <v>12.04</v>
      </c>
      <c r="Q129" s="4">
        <v>1.44</v>
      </c>
      <c r="R129" s="4" t="s">
        <v>150</v>
      </c>
      <c r="S129" s="4" t="s">
        <v>21</v>
      </c>
      <c r="T129" s="4">
        <v>5</v>
      </c>
    </row>
    <row r="130" spans="1:20" x14ac:dyDescent="0.35">
      <c r="A130" s="3" t="s">
        <v>232</v>
      </c>
      <c r="B130" s="5">
        <v>46220</v>
      </c>
      <c r="C130" s="5">
        <f>Delivered_data[[#This Row],[order_date]]-WEEKDAY(Delivered_data[[#This Row],[order_date]],2)+1</f>
        <v>46216</v>
      </c>
      <c r="D130" s="3" t="s">
        <v>23</v>
      </c>
      <c r="E130" s="3" t="s">
        <v>24</v>
      </c>
      <c r="F130" s="19">
        <f>_xlfn.XLOOKUP(Delivered_data[[#This Row],[store_id]],blinkit_stores!A:A,blinkit_stores!F:F,"not found")</f>
        <v>0.8571428571428571</v>
      </c>
      <c r="G130" s="6">
        <v>0.37916666666666665</v>
      </c>
      <c r="H130" s="6" t="str">
        <f>IF(AND(Delivered_data[[#This Row],[order_time]]&gt;=TIME(19,0,0),Delivered_data[[#This Row],[order_time]]&lt;=TIME(22,59,59)),"Peak","Non-Peak")</f>
        <v>Non-Peak</v>
      </c>
      <c r="I130" s="3">
        <v>2</v>
      </c>
      <c r="J130" s="3">
        <v>611.45000000000005</v>
      </c>
      <c r="K130" s="3">
        <v>1.84</v>
      </c>
      <c r="L130" s="3">
        <v>0.78</v>
      </c>
      <c r="M130" s="3">
        <v>1.04</v>
      </c>
      <c r="N130" s="3">
        <v>0.2</v>
      </c>
      <c r="O130" s="3">
        <v>6.73</v>
      </c>
      <c r="P130" s="3">
        <v>10.59</v>
      </c>
      <c r="Q130" s="3">
        <v>2.72</v>
      </c>
      <c r="R130" s="3" t="s">
        <v>152</v>
      </c>
      <c r="S130" s="3" t="s">
        <v>21</v>
      </c>
      <c r="T130" s="3">
        <v>5</v>
      </c>
    </row>
    <row r="131" spans="1:20" x14ac:dyDescent="0.35">
      <c r="A131" s="4" t="s">
        <v>233</v>
      </c>
      <c r="B131" s="7">
        <v>46225</v>
      </c>
      <c r="C131" s="7">
        <f>Delivered_data[[#This Row],[order_date]]-WEEKDAY(Delivered_data[[#This Row],[order_date]],2)+1</f>
        <v>46223</v>
      </c>
      <c r="D131" s="4" t="s">
        <v>18</v>
      </c>
      <c r="E131" s="4" t="s">
        <v>42</v>
      </c>
      <c r="F131" s="20">
        <f>_xlfn.XLOOKUP(Delivered_data[[#This Row],[store_id]],blinkit_stores!A:A,blinkit_stores!F:F,"not found")</f>
        <v>0.625</v>
      </c>
      <c r="G131" s="8">
        <v>0.84375</v>
      </c>
      <c r="H131" s="8" t="str">
        <f>IF(AND(Delivered_data[[#This Row],[order_time]]&gt;=TIME(19,0,0),Delivered_data[[#This Row],[order_time]]&lt;=TIME(22,59,59)),"Peak","Non-Peak")</f>
        <v>Peak</v>
      </c>
      <c r="I131" s="4">
        <v>7</v>
      </c>
      <c r="J131" s="4">
        <v>870.35</v>
      </c>
      <c r="K131" s="4">
        <v>3.38</v>
      </c>
      <c r="L131" s="4">
        <v>1.25</v>
      </c>
      <c r="M131" s="4">
        <v>1.55</v>
      </c>
      <c r="N131" s="4">
        <v>0.92</v>
      </c>
      <c r="O131" s="4">
        <v>4.45</v>
      </c>
      <c r="P131" s="4">
        <v>11.55</v>
      </c>
      <c r="Q131" s="4">
        <v>0.84</v>
      </c>
      <c r="R131" s="4" t="s">
        <v>65</v>
      </c>
      <c r="S131" s="4" t="s">
        <v>21</v>
      </c>
      <c r="T131" s="4">
        <v>5</v>
      </c>
    </row>
    <row r="132" spans="1:20" x14ac:dyDescent="0.35">
      <c r="A132" s="3" t="s">
        <v>234</v>
      </c>
      <c r="B132" s="5">
        <v>46222</v>
      </c>
      <c r="C132" s="5">
        <f>Delivered_data[[#This Row],[order_date]]-WEEKDAY(Delivered_data[[#This Row],[order_date]],2)+1</f>
        <v>46216</v>
      </c>
      <c r="D132" s="3" t="s">
        <v>46</v>
      </c>
      <c r="E132" s="3" t="s">
        <v>47</v>
      </c>
      <c r="F132" s="19">
        <f>_xlfn.XLOOKUP(Delivered_data[[#This Row],[store_id]],blinkit_stores!A:A,blinkit_stores!F:F,"not found")</f>
        <v>1.5</v>
      </c>
      <c r="G132" s="6">
        <v>0.74444444444444446</v>
      </c>
      <c r="H132" s="6" t="str">
        <f>IF(AND(Delivered_data[[#This Row],[order_time]]&gt;=TIME(19,0,0),Delivered_data[[#This Row],[order_time]]&lt;=TIME(22,59,59)),"Peak","Non-Peak")</f>
        <v>Non-Peak</v>
      </c>
      <c r="I132" s="3">
        <v>5</v>
      </c>
      <c r="J132" s="3">
        <v>503.74</v>
      </c>
      <c r="K132" s="3">
        <v>2.89</v>
      </c>
      <c r="L132" s="3">
        <v>0.93</v>
      </c>
      <c r="M132" s="3">
        <v>0.55000000000000004</v>
      </c>
      <c r="N132" s="3">
        <v>0.61</v>
      </c>
      <c r="O132" s="3">
        <v>5.08</v>
      </c>
      <c r="P132" s="3">
        <v>10.06</v>
      </c>
      <c r="Q132" s="3">
        <v>1.88</v>
      </c>
      <c r="R132" s="3" t="s">
        <v>61</v>
      </c>
      <c r="S132" s="3" t="s">
        <v>21</v>
      </c>
      <c r="T132" s="3">
        <v>5</v>
      </c>
    </row>
    <row r="133" spans="1:20" x14ac:dyDescent="0.35">
      <c r="A133" s="4" t="s">
        <v>235</v>
      </c>
      <c r="B133" s="7">
        <v>46241</v>
      </c>
      <c r="C133" s="7">
        <f>Delivered_data[[#This Row],[order_date]]-WEEKDAY(Delivered_data[[#This Row],[order_date]],2)+1</f>
        <v>46237</v>
      </c>
      <c r="D133" s="4" t="s">
        <v>46</v>
      </c>
      <c r="E133" s="4" t="s">
        <v>47</v>
      </c>
      <c r="F133" s="20">
        <f>_xlfn.XLOOKUP(Delivered_data[[#This Row],[store_id]],blinkit_stores!A:A,blinkit_stores!F:F,"not found")</f>
        <v>1.5</v>
      </c>
      <c r="G133" s="8">
        <v>1.1111111111111112E-2</v>
      </c>
      <c r="H133" s="8" t="str">
        <f>IF(AND(Delivered_data[[#This Row],[order_time]]&gt;=TIME(19,0,0),Delivered_data[[#This Row],[order_time]]&lt;=TIME(22,59,59)),"Peak","Non-Peak")</f>
        <v>Non-Peak</v>
      </c>
      <c r="I133" s="4">
        <v>8</v>
      </c>
      <c r="J133" s="4">
        <v>368.96</v>
      </c>
      <c r="K133" s="4">
        <v>3.49</v>
      </c>
      <c r="L133" s="4">
        <v>1.1399999999999999</v>
      </c>
      <c r="M133" s="4">
        <v>0.72</v>
      </c>
      <c r="N133" s="4">
        <v>1.08</v>
      </c>
      <c r="O133" s="4">
        <v>6.41</v>
      </c>
      <c r="P133" s="4">
        <v>12.84</v>
      </c>
      <c r="Q133" s="4">
        <v>2.4700000000000002</v>
      </c>
      <c r="R133" s="4" t="s">
        <v>33</v>
      </c>
      <c r="S133" s="4" t="s">
        <v>21</v>
      </c>
      <c r="T133" s="4">
        <v>4.0999999999999996</v>
      </c>
    </row>
    <row r="134" spans="1:20" x14ac:dyDescent="0.35">
      <c r="A134" s="3" t="s">
        <v>236</v>
      </c>
      <c r="B134" s="5">
        <v>46224</v>
      </c>
      <c r="C134" s="5">
        <f>Delivered_data[[#This Row],[order_date]]-WEEKDAY(Delivered_data[[#This Row],[order_date]],2)+1</f>
        <v>46223</v>
      </c>
      <c r="D134" s="3" t="s">
        <v>23</v>
      </c>
      <c r="E134" s="3" t="s">
        <v>35</v>
      </c>
      <c r="F134" s="19">
        <f>_xlfn.XLOOKUP(Delivered_data[[#This Row],[store_id]],blinkit_stores!A:A,blinkit_stores!F:F,"not found")</f>
        <v>0.5</v>
      </c>
      <c r="G134" s="6">
        <v>0.82986111111111116</v>
      </c>
      <c r="H134" s="6" t="str">
        <f>IF(AND(Delivered_data[[#This Row],[order_time]]&gt;=TIME(19,0,0),Delivered_data[[#This Row],[order_time]]&lt;=TIME(22,59,59)),"Peak","Non-Peak")</f>
        <v>Peak</v>
      </c>
      <c r="I134" s="3">
        <v>5</v>
      </c>
      <c r="J134" s="3">
        <v>467.08</v>
      </c>
      <c r="K134" s="3">
        <v>2.86</v>
      </c>
      <c r="L134" s="3">
        <v>0.95</v>
      </c>
      <c r="M134" s="3">
        <v>2.27</v>
      </c>
      <c r="N134" s="3">
        <v>0.74</v>
      </c>
      <c r="O134" s="3">
        <v>7.45</v>
      </c>
      <c r="P134" s="3">
        <v>14.27</v>
      </c>
      <c r="Q134" s="3">
        <v>2.62</v>
      </c>
      <c r="R134" s="3" t="s">
        <v>140</v>
      </c>
      <c r="S134" s="3" t="s">
        <v>21</v>
      </c>
      <c r="T134" s="3">
        <v>4.3</v>
      </c>
    </row>
    <row r="135" spans="1:20" x14ac:dyDescent="0.35">
      <c r="A135" s="4" t="s">
        <v>237</v>
      </c>
      <c r="B135" s="7">
        <v>46243</v>
      </c>
      <c r="C135" s="7">
        <f>Delivered_data[[#This Row],[order_date]]-WEEKDAY(Delivered_data[[#This Row],[order_date]],2)+1</f>
        <v>46237</v>
      </c>
      <c r="D135" s="4" t="s">
        <v>46</v>
      </c>
      <c r="E135" s="4" t="s">
        <v>47</v>
      </c>
      <c r="F135" s="20">
        <f>_xlfn.XLOOKUP(Delivered_data[[#This Row],[store_id]],blinkit_stores!A:A,blinkit_stores!F:F,"not found")</f>
        <v>1.5</v>
      </c>
      <c r="G135" s="8">
        <v>0.86319444444444449</v>
      </c>
      <c r="H135" s="8" t="str">
        <f>IF(AND(Delivered_data[[#This Row],[order_time]]&gt;=TIME(19,0,0),Delivered_data[[#This Row],[order_time]]&lt;=TIME(22,59,59)),"Peak","Non-Peak")</f>
        <v>Peak</v>
      </c>
      <c r="I135" s="4">
        <v>6</v>
      </c>
      <c r="J135" s="4">
        <v>747.48</v>
      </c>
      <c r="K135" s="4">
        <v>2.46</v>
      </c>
      <c r="L135" s="4">
        <v>1.1000000000000001</v>
      </c>
      <c r="M135" s="4">
        <v>2.2799999999999998</v>
      </c>
      <c r="N135" s="4">
        <v>1.18</v>
      </c>
      <c r="O135" s="4">
        <v>10.68</v>
      </c>
      <c r="P135" s="4">
        <v>17.7</v>
      </c>
      <c r="Q135" s="4">
        <v>4.87</v>
      </c>
      <c r="R135" s="4" t="s">
        <v>171</v>
      </c>
      <c r="S135" s="4" t="s">
        <v>21</v>
      </c>
      <c r="T135" s="4">
        <v>4.0999999999999996</v>
      </c>
    </row>
    <row r="136" spans="1:20" x14ac:dyDescent="0.35">
      <c r="A136" s="3" t="s">
        <v>238</v>
      </c>
      <c r="B136" s="5">
        <v>46222</v>
      </c>
      <c r="C136" s="5">
        <f>Delivered_data[[#This Row],[order_date]]-WEEKDAY(Delivered_data[[#This Row],[order_date]],2)+1</f>
        <v>46216</v>
      </c>
      <c r="D136" s="3" t="s">
        <v>18</v>
      </c>
      <c r="E136" s="3" t="s">
        <v>19</v>
      </c>
      <c r="F136" s="19">
        <f>_xlfn.XLOOKUP(Delivered_data[[#This Row],[store_id]],blinkit_stores!A:A,blinkit_stores!F:F,"not found")</f>
        <v>0.375</v>
      </c>
      <c r="G136" s="6">
        <v>0.10902777777777778</v>
      </c>
      <c r="H136" s="6" t="str">
        <f>IF(AND(Delivered_data[[#This Row],[order_time]]&gt;=TIME(19,0,0),Delivered_data[[#This Row],[order_time]]&lt;=TIME(22,59,59)),"Peak","Non-Peak")</f>
        <v>Non-Peak</v>
      </c>
      <c r="I136" s="3">
        <v>7</v>
      </c>
      <c r="J136" s="3">
        <v>383.73</v>
      </c>
      <c r="K136" s="3">
        <v>3.15</v>
      </c>
      <c r="L136" s="3">
        <v>0.94</v>
      </c>
      <c r="M136" s="3">
        <v>0.91</v>
      </c>
      <c r="N136" s="3">
        <v>0.38</v>
      </c>
      <c r="O136" s="3">
        <v>6.27</v>
      </c>
      <c r="P136" s="3">
        <v>11.65</v>
      </c>
      <c r="Q136" s="3">
        <v>2.5099999999999998</v>
      </c>
      <c r="R136" s="3" t="s">
        <v>194</v>
      </c>
      <c r="S136" s="3" t="s">
        <v>21</v>
      </c>
      <c r="T136" s="3">
        <v>4.5999999999999996</v>
      </c>
    </row>
    <row r="137" spans="1:20" x14ac:dyDescent="0.35">
      <c r="A137" s="4" t="s">
        <v>239</v>
      </c>
      <c r="B137" s="7">
        <v>46224</v>
      </c>
      <c r="C137" s="7">
        <f>Delivered_data[[#This Row],[order_date]]-WEEKDAY(Delivered_data[[#This Row],[order_date]],2)+1</f>
        <v>46223</v>
      </c>
      <c r="D137" s="4" t="s">
        <v>23</v>
      </c>
      <c r="E137" s="4" t="s">
        <v>35</v>
      </c>
      <c r="F137" s="20">
        <f>_xlfn.XLOOKUP(Delivered_data[[#This Row],[store_id]],blinkit_stores!A:A,blinkit_stores!F:F,"not found")</f>
        <v>0.5</v>
      </c>
      <c r="G137" s="8">
        <v>0.33055555555555555</v>
      </c>
      <c r="H137" s="8" t="str">
        <f>IF(AND(Delivered_data[[#This Row],[order_time]]&gt;=TIME(19,0,0),Delivered_data[[#This Row],[order_time]]&lt;=TIME(22,59,59)),"Peak","Non-Peak")</f>
        <v>Non-Peak</v>
      </c>
      <c r="I137" s="4">
        <v>5</v>
      </c>
      <c r="J137" s="4">
        <v>356.15</v>
      </c>
      <c r="K137" s="4">
        <v>2.93</v>
      </c>
      <c r="L137" s="4">
        <v>0.67</v>
      </c>
      <c r="M137" s="4">
        <v>1.81</v>
      </c>
      <c r="N137" s="4">
        <v>0.72</v>
      </c>
      <c r="O137" s="4">
        <v>4.84</v>
      </c>
      <c r="P137" s="4">
        <v>10.97</v>
      </c>
      <c r="Q137" s="4">
        <v>1.3</v>
      </c>
      <c r="R137" s="4" t="s">
        <v>152</v>
      </c>
      <c r="S137" s="4" t="s">
        <v>21</v>
      </c>
      <c r="T137" s="4">
        <v>4.8</v>
      </c>
    </row>
    <row r="138" spans="1:20" x14ac:dyDescent="0.35">
      <c r="A138" s="3" t="s">
        <v>240</v>
      </c>
      <c r="B138" s="5">
        <v>46223</v>
      </c>
      <c r="C138" s="5">
        <f>Delivered_data[[#This Row],[order_date]]-WEEKDAY(Delivered_data[[#This Row],[order_date]],2)+1</f>
        <v>46223</v>
      </c>
      <c r="D138" s="3" t="s">
        <v>18</v>
      </c>
      <c r="E138" s="3" t="s">
        <v>19</v>
      </c>
      <c r="F138" s="19">
        <f>_xlfn.XLOOKUP(Delivered_data[[#This Row],[store_id]],blinkit_stores!A:A,blinkit_stores!F:F,"not found")</f>
        <v>0.375</v>
      </c>
      <c r="G138" s="6">
        <v>0.74236111111111114</v>
      </c>
      <c r="H138" s="6" t="str">
        <f>IF(AND(Delivered_data[[#This Row],[order_time]]&gt;=TIME(19,0,0),Delivered_data[[#This Row],[order_time]]&lt;=TIME(22,59,59)),"Peak","Non-Peak")</f>
        <v>Non-Peak</v>
      </c>
      <c r="I138" s="3">
        <v>6</v>
      </c>
      <c r="J138" s="3">
        <v>413.11</v>
      </c>
      <c r="K138" s="3">
        <v>3.18</v>
      </c>
      <c r="L138" s="3">
        <v>0.96</v>
      </c>
      <c r="M138" s="3">
        <v>0.87</v>
      </c>
      <c r="N138" s="3">
        <v>0.51</v>
      </c>
      <c r="O138" s="3">
        <v>6.36</v>
      </c>
      <c r="P138" s="3">
        <v>11.88</v>
      </c>
      <c r="Q138" s="3">
        <v>2.11</v>
      </c>
      <c r="R138" s="3" t="s">
        <v>101</v>
      </c>
      <c r="S138" s="3" t="s">
        <v>21</v>
      </c>
      <c r="T138" s="3">
        <v>4.7</v>
      </c>
    </row>
    <row r="139" spans="1:20" x14ac:dyDescent="0.35">
      <c r="A139" s="4" t="s">
        <v>241</v>
      </c>
      <c r="B139" s="7">
        <v>46227</v>
      </c>
      <c r="C139" s="7">
        <f>Delivered_data[[#This Row],[order_date]]-WEEKDAY(Delivered_data[[#This Row],[order_date]],2)+1</f>
        <v>46223</v>
      </c>
      <c r="D139" s="4" t="s">
        <v>18</v>
      </c>
      <c r="E139" s="4" t="s">
        <v>19</v>
      </c>
      <c r="F139" s="20">
        <f>_xlfn.XLOOKUP(Delivered_data[[#This Row],[store_id]],blinkit_stores!A:A,blinkit_stores!F:F,"not found")</f>
        <v>0.375</v>
      </c>
      <c r="G139" s="8">
        <v>0.96944444444444444</v>
      </c>
      <c r="H139" s="8" t="str">
        <f>IF(AND(Delivered_data[[#This Row],[order_time]]&gt;=TIME(19,0,0),Delivered_data[[#This Row],[order_time]]&lt;=TIME(22,59,59)),"Peak","Non-Peak")</f>
        <v>Non-Peak</v>
      </c>
      <c r="I139" s="4">
        <v>2</v>
      </c>
      <c r="J139" s="4">
        <v>328.4</v>
      </c>
      <c r="K139" s="4">
        <v>1.88</v>
      </c>
      <c r="L139" s="4">
        <v>0.56000000000000005</v>
      </c>
      <c r="M139" s="4">
        <v>1.1000000000000001</v>
      </c>
      <c r="N139" s="4">
        <v>0.6</v>
      </c>
      <c r="O139" s="4">
        <v>3</v>
      </c>
      <c r="P139" s="4">
        <v>7.14</v>
      </c>
      <c r="Q139" s="4">
        <v>0.6</v>
      </c>
      <c r="R139" s="4" t="s">
        <v>171</v>
      </c>
      <c r="S139" s="4" t="s">
        <v>21</v>
      </c>
      <c r="T139" s="4">
        <v>5</v>
      </c>
    </row>
    <row r="140" spans="1:20" x14ac:dyDescent="0.35">
      <c r="A140" s="3" t="s">
        <v>242</v>
      </c>
      <c r="B140" s="5">
        <v>46217</v>
      </c>
      <c r="C140" s="5">
        <f>Delivered_data[[#This Row],[order_date]]-WEEKDAY(Delivered_data[[#This Row],[order_date]],2)+1</f>
        <v>46216</v>
      </c>
      <c r="D140" s="3" t="s">
        <v>23</v>
      </c>
      <c r="E140" s="3" t="s">
        <v>35</v>
      </c>
      <c r="F140" s="19">
        <f>_xlfn.XLOOKUP(Delivered_data[[#This Row],[store_id]],blinkit_stores!A:A,blinkit_stores!F:F,"not found")</f>
        <v>0.5</v>
      </c>
      <c r="G140" s="6">
        <v>0.35902777777777778</v>
      </c>
      <c r="H140" s="6" t="str">
        <f>IF(AND(Delivered_data[[#This Row],[order_time]]&gt;=TIME(19,0,0),Delivered_data[[#This Row],[order_time]]&lt;=TIME(22,59,59)),"Peak","Non-Peak")</f>
        <v>Non-Peak</v>
      </c>
      <c r="I140" s="3">
        <v>5</v>
      </c>
      <c r="J140" s="3">
        <v>522.08000000000004</v>
      </c>
      <c r="K140" s="3">
        <v>3.34</v>
      </c>
      <c r="L140" s="3">
        <v>0.89</v>
      </c>
      <c r="M140" s="3">
        <v>0.72</v>
      </c>
      <c r="N140" s="3">
        <v>0.37</v>
      </c>
      <c r="O140" s="3">
        <v>6.64</v>
      </c>
      <c r="P140" s="3">
        <v>11.96</v>
      </c>
      <c r="Q140" s="3">
        <v>2.13</v>
      </c>
      <c r="R140" s="3" t="s">
        <v>137</v>
      </c>
      <c r="S140" s="3" t="s">
        <v>21</v>
      </c>
      <c r="T140" s="3">
        <v>4.8</v>
      </c>
    </row>
    <row r="141" spans="1:20" x14ac:dyDescent="0.35">
      <c r="A141" s="4" t="s">
        <v>243</v>
      </c>
      <c r="B141" s="7">
        <v>46216</v>
      </c>
      <c r="C141" s="7">
        <f>Delivered_data[[#This Row],[order_date]]-WEEKDAY(Delivered_data[[#This Row],[order_date]],2)+1</f>
        <v>46216</v>
      </c>
      <c r="D141" s="4" t="s">
        <v>18</v>
      </c>
      <c r="E141" s="4" t="s">
        <v>31</v>
      </c>
      <c r="F141" s="20">
        <f>_xlfn.XLOOKUP(Delivered_data[[#This Row],[store_id]],blinkit_stores!A:A,blinkit_stores!F:F,"not found")</f>
        <v>0.7142857142857143</v>
      </c>
      <c r="G141" s="8">
        <v>6.805555555555555E-2</v>
      </c>
      <c r="H141" s="8" t="str">
        <f>IF(AND(Delivered_data[[#This Row],[order_time]]&gt;=TIME(19,0,0),Delivered_data[[#This Row],[order_time]]&lt;=TIME(22,59,59)),"Peak","Non-Peak")</f>
        <v>Non-Peak</v>
      </c>
      <c r="I141" s="4">
        <v>4</v>
      </c>
      <c r="J141" s="4">
        <v>792.44</v>
      </c>
      <c r="K141" s="4">
        <v>2.38</v>
      </c>
      <c r="L141" s="4">
        <v>0.85</v>
      </c>
      <c r="M141" s="4">
        <v>0.96</v>
      </c>
      <c r="N141" s="4">
        <v>0.67</v>
      </c>
      <c r="O141" s="4">
        <v>4.76</v>
      </c>
      <c r="P141" s="4">
        <v>9.6199999999999992</v>
      </c>
      <c r="Q141" s="4">
        <v>1.45</v>
      </c>
      <c r="R141" s="4" t="s">
        <v>87</v>
      </c>
      <c r="S141" s="4" t="s">
        <v>21</v>
      </c>
      <c r="T141" s="4">
        <v>4.5999999999999996</v>
      </c>
    </row>
    <row r="142" spans="1:20" x14ac:dyDescent="0.35">
      <c r="A142" s="3" t="s">
        <v>244</v>
      </c>
      <c r="B142" s="5">
        <v>46231</v>
      </c>
      <c r="C142" s="5">
        <f>Delivered_data[[#This Row],[order_date]]-WEEKDAY(Delivered_data[[#This Row],[order_date]],2)+1</f>
        <v>46230</v>
      </c>
      <c r="D142" s="3" t="s">
        <v>23</v>
      </c>
      <c r="E142" s="3" t="s">
        <v>35</v>
      </c>
      <c r="F142" s="19">
        <f>_xlfn.XLOOKUP(Delivered_data[[#This Row],[store_id]],blinkit_stores!A:A,blinkit_stores!F:F,"not found")</f>
        <v>0.5</v>
      </c>
      <c r="G142" s="6">
        <v>0.73611111111111116</v>
      </c>
      <c r="H142" s="6" t="str">
        <f>IF(AND(Delivered_data[[#This Row],[order_time]]&gt;=TIME(19,0,0),Delivered_data[[#This Row],[order_time]]&lt;=TIME(22,59,59)),"Peak","Non-Peak")</f>
        <v>Non-Peak</v>
      </c>
      <c r="I142" s="3">
        <v>2</v>
      </c>
      <c r="J142" s="3">
        <v>558.15</v>
      </c>
      <c r="K142" s="3">
        <v>2.58</v>
      </c>
      <c r="L142" s="3">
        <v>0.66</v>
      </c>
      <c r="M142" s="3">
        <v>1.58</v>
      </c>
      <c r="N142" s="3">
        <v>0.94</v>
      </c>
      <c r="O142" s="3">
        <v>7.62</v>
      </c>
      <c r="P142" s="3">
        <v>13.38</v>
      </c>
      <c r="Q142" s="3">
        <v>3.02</v>
      </c>
      <c r="R142" s="3" t="s">
        <v>38</v>
      </c>
      <c r="S142" s="3" t="s">
        <v>21</v>
      </c>
      <c r="T142" s="3">
        <v>4.3</v>
      </c>
    </row>
    <row r="143" spans="1:20" x14ac:dyDescent="0.35">
      <c r="A143" s="4" t="s">
        <v>245</v>
      </c>
      <c r="B143" s="7">
        <v>46238</v>
      </c>
      <c r="C143" s="7">
        <f>Delivered_data[[#This Row],[order_date]]-WEEKDAY(Delivered_data[[#This Row],[order_date]],2)+1</f>
        <v>46237</v>
      </c>
      <c r="D143" s="4" t="s">
        <v>23</v>
      </c>
      <c r="E143" s="4" t="s">
        <v>35</v>
      </c>
      <c r="F143" s="20">
        <f>_xlfn.XLOOKUP(Delivered_data[[#This Row],[store_id]],blinkit_stores!A:A,blinkit_stores!F:F,"not found")</f>
        <v>0.5</v>
      </c>
      <c r="G143" s="8">
        <v>0.19375000000000001</v>
      </c>
      <c r="H143" s="8" t="str">
        <f>IF(AND(Delivered_data[[#This Row],[order_time]]&gt;=TIME(19,0,0),Delivered_data[[#This Row],[order_time]]&lt;=TIME(22,59,59)),"Peak","Non-Peak")</f>
        <v>Non-Peak</v>
      </c>
      <c r="I143" s="4">
        <v>8</v>
      </c>
      <c r="J143" s="4">
        <v>454.58</v>
      </c>
      <c r="K143" s="4">
        <v>3.71</v>
      </c>
      <c r="L143" s="4">
        <v>1.36</v>
      </c>
      <c r="M143" s="4">
        <v>1.76</v>
      </c>
      <c r="N143" s="4">
        <v>0.87</v>
      </c>
      <c r="O143" s="4">
        <v>6.01</v>
      </c>
      <c r="P143" s="4">
        <v>13.71</v>
      </c>
      <c r="Q143" s="4">
        <v>1.71</v>
      </c>
      <c r="R143" s="4" t="s">
        <v>148</v>
      </c>
      <c r="S143" s="4" t="s">
        <v>21</v>
      </c>
      <c r="T143" s="4">
        <v>4</v>
      </c>
    </row>
    <row r="144" spans="1:20" x14ac:dyDescent="0.35">
      <c r="A144" s="3" t="s">
        <v>246</v>
      </c>
      <c r="B144" s="5">
        <v>46238</v>
      </c>
      <c r="C144" s="5">
        <f>Delivered_data[[#This Row],[order_date]]-WEEKDAY(Delivered_data[[#This Row],[order_date]],2)+1</f>
        <v>46237</v>
      </c>
      <c r="D144" s="3" t="s">
        <v>23</v>
      </c>
      <c r="E144" s="3" t="s">
        <v>50</v>
      </c>
      <c r="F144" s="19">
        <f>_xlfn.XLOOKUP(Delivered_data[[#This Row],[store_id]],blinkit_stores!A:A,blinkit_stores!F:F,"not found")</f>
        <v>0.33333333333333331</v>
      </c>
      <c r="G144" s="6">
        <v>0.95277777777777772</v>
      </c>
      <c r="H144" s="6" t="str">
        <f>IF(AND(Delivered_data[[#This Row],[order_time]]&gt;=TIME(19,0,0),Delivered_data[[#This Row],[order_time]]&lt;=TIME(22,59,59)),"Peak","Non-Peak")</f>
        <v>Peak</v>
      </c>
      <c r="I144" s="3">
        <v>3</v>
      </c>
      <c r="J144" s="3">
        <v>447.47</v>
      </c>
      <c r="K144" s="3">
        <v>2.23</v>
      </c>
      <c r="L144" s="3">
        <v>0.83</v>
      </c>
      <c r="M144" s="3">
        <v>1.91</v>
      </c>
      <c r="N144" s="3">
        <v>1.17</v>
      </c>
      <c r="O144" s="3">
        <v>5.92</v>
      </c>
      <c r="P144" s="3">
        <v>12.06</v>
      </c>
      <c r="Q144" s="3">
        <v>2.34</v>
      </c>
      <c r="R144" s="3" t="s">
        <v>83</v>
      </c>
      <c r="S144" s="3" t="s">
        <v>21</v>
      </c>
      <c r="T144" s="3">
        <v>5</v>
      </c>
    </row>
    <row r="145" spans="1:20" x14ac:dyDescent="0.35">
      <c r="A145" s="4" t="s">
        <v>248</v>
      </c>
      <c r="B145" s="7">
        <v>46220</v>
      </c>
      <c r="C145" s="7">
        <f>Delivered_data[[#This Row],[order_date]]-WEEKDAY(Delivered_data[[#This Row],[order_date]],2)+1</f>
        <v>46216</v>
      </c>
      <c r="D145" s="4" t="s">
        <v>23</v>
      </c>
      <c r="E145" s="4" t="s">
        <v>24</v>
      </c>
      <c r="F145" s="20">
        <f>_xlfn.XLOOKUP(Delivered_data[[#This Row],[store_id]],blinkit_stores!A:A,blinkit_stores!F:F,"not found")</f>
        <v>0.8571428571428571</v>
      </c>
      <c r="G145" s="8">
        <v>0.20902777777777778</v>
      </c>
      <c r="H145" s="8" t="str">
        <f>IF(AND(Delivered_data[[#This Row],[order_time]]&gt;=TIME(19,0,0),Delivered_data[[#This Row],[order_time]]&lt;=TIME(22,59,59)),"Peak","Non-Peak")</f>
        <v>Non-Peak</v>
      </c>
      <c r="I145" s="4">
        <v>5</v>
      </c>
      <c r="J145" s="4">
        <v>658.96</v>
      </c>
      <c r="K145" s="4">
        <v>2.48</v>
      </c>
      <c r="L145" s="4">
        <v>1.02</v>
      </c>
      <c r="M145" s="4">
        <v>0.3</v>
      </c>
      <c r="N145" s="4">
        <v>0.5</v>
      </c>
      <c r="O145" s="4">
        <v>8.3699999999999992</v>
      </c>
      <c r="P145" s="4">
        <v>12.67</v>
      </c>
      <c r="Q145" s="4">
        <v>3.76</v>
      </c>
      <c r="R145" s="4" t="s">
        <v>140</v>
      </c>
      <c r="S145" s="4" t="s">
        <v>21</v>
      </c>
      <c r="T145" s="4">
        <v>5</v>
      </c>
    </row>
    <row r="146" spans="1:20" x14ac:dyDescent="0.35">
      <c r="A146" s="3" t="s">
        <v>249</v>
      </c>
      <c r="B146" s="5">
        <v>46218</v>
      </c>
      <c r="C146" s="5">
        <f>Delivered_data[[#This Row],[order_date]]-WEEKDAY(Delivered_data[[#This Row],[order_date]],2)+1</f>
        <v>46216</v>
      </c>
      <c r="D146" s="3" t="s">
        <v>18</v>
      </c>
      <c r="E146" s="3" t="s">
        <v>31</v>
      </c>
      <c r="F146" s="19">
        <f>_xlfn.XLOOKUP(Delivered_data[[#This Row],[store_id]],blinkit_stores!A:A,blinkit_stores!F:F,"not found")</f>
        <v>0.7142857142857143</v>
      </c>
      <c r="G146" s="6">
        <v>0.125</v>
      </c>
      <c r="H146" s="6" t="str">
        <f>IF(AND(Delivered_data[[#This Row],[order_time]]&gt;=TIME(19,0,0),Delivered_data[[#This Row],[order_time]]&lt;=TIME(22,59,59)),"Peak","Non-Peak")</f>
        <v>Non-Peak</v>
      </c>
      <c r="I146" s="3">
        <v>4</v>
      </c>
      <c r="J146" s="3">
        <v>485.99</v>
      </c>
      <c r="K146" s="3">
        <v>3</v>
      </c>
      <c r="L146" s="3">
        <v>0.73</v>
      </c>
      <c r="M146" s="3">
        <v>0.98</v>
      </c>
      <c r="N146" s="3">
        <v>0.54</v>
      </c>
      <c r="O146" s="3">
        <v>5.23</v>
      </c>
      <c r="P146" s="3">
        <v>10.48</v>
      </c>
      <c r="Q146" s="3">
        <v>1.91</v>
      </c>
      <c r="R146" s="3" t="s">
        <v>177</v>
      </c>
      <c r="S146" s="3" t="s">
        <v>21</v>
      </c>
      <c r="T146" s="3">
        <v>5</v>
      </c>
    </row>
    <row r="147" spans="1:20" x14ac:dyDescent="0.35">
      <c r="A147" s="4" t="s">
        <v>250</v>
      </c>
      <c r="B147" s="7">
        <v>46227</v>
      </c>
      <c r="C147" s="7">
        <f>Delivered_data[[#This Row],[order_date]]-WEEKDAY(Delivered_data[[#This Row],[order_date]],2)+1</f>
        <v>46223</v>
      </c>
      <c r="D147" s="4" t="s">
        <v>18</v>
      </c>
      <c r="E147" s="4" t="s">
        <v>19</v>
      </c>
      <c r="F147" s="20">
        <f>_xlfn.XLOOKUP(Delivered_data[[#This Row],[store_id]],blinkit_stores!A:A,blinkit_stores!F:F,"not found")</f>
        <v>0.375</v>
      </c>
      <c r="G147" s="8">
        <v>0.42083333333333334</v>
      </c>
      <c r="H147" s="8" t="str">
        <f>IF(AND(Delivered_data[[#This Row],[order_time]]&gt;=TIME(19,0,0),Delivered_data[[#This Row],[order_time]]&lt;=TIME(22,59,59)),"Peak","Non-Peak")</f>
        <v>Non-Peak</v>
      </c>
      <c r="I147" s="4">
        <v>8</v>
      </c>
      <c r="J147" s="4">
        <v>467.51</v>
      </c>
      <c r="K147" s="4">
        <v>3.91</v>
      </c>
      <c r="L147" s="4">
        <v>1.31</v>
      </c>
      <c r="M147" s="4">
        <v>1.18</v>
      </c>
      <c r="N147" s="4">
        <v>1.1399999999999999</v>
      </c>
      <c r="O147" s="4">
        <v>9.6199999999999992</v>
      </c>
      <c r="P147" s="4">
        <v>17.16</v>
      </c>
      <c r="Q147" s="4">
        <v>3.85</v>
      </c>
      <c r="R147" s="4" t="s">
        <v>181</v>
      </c>
      <c r="S147" s="4" t="s">
        <v>21</v>
      </c>
      <c r="T147" s="4">
        <v>4</v>
      </c>
    </row>
    <row r="148" spans="1:20" x14ac:dyDescent="0.35">
      <c r="A148" s="3" t="s">
        <v>251</v>
      </c>
      <c r="B148" s="5">
        <v>46223</v>
      </c>
      <c r="C148" s="5">
        <f>Delivered_data[[#This Row],[order_date]]-WEEKDAY(Delivered_data[[#This Row],[order_date]],2)+1</f>
        <v>46223</v>
      </c>
      <c r="D148" s="3" t="s">
        <v>18</v>
      </c>
      <c r="E148" s="3" t="s">
        <v>19</v>
      </c>
      <c r="F148" s="19">
        <f>_xlfn.XLOOKUP(Delivered_data[[#This Row],[store_id]],blinkit_stores!A:A,blinkit_stores!F:F,"not found")</f>
        <v>0.375</v>
      </c>
      <c r="G148" s="6">
        <v>0.77916666666666667</v>
      </c>
      <c r="H148" s="6" t="str">
        <f>IF(AND(Delivered_data[[#This Row],[order_time]]&gt;=TIME(19,0,0),Delivered_data[[#This Row],[order_time]]&lt;=TIME(22,59,59)),"Peak","Non-Peak")</f>
        <v>Non-Peak</v>
      </c>
      <c r="I148" s="3">
        <v>2</v>
      </c>
      <c r="J148" s="3">
        <v>1074.76</v>
      </c>
      <c r="K148" s="3">
        <v>2.0099999999999998</v>
      </c>
      <c r="L148" s="3">
        <v>0.7</v>
      </c>
      <c r="M148" s="3">
        <v>1.07</v>
      </c>
      <c r="N148" s="3">
        <v>0.47</v>
      </c>
      <c r="O148" s="3">
        <v>6.77</v>
      </c>
      <c r="P148" s="3">
        <v>11.02</v>
      </c>
      <c r="Q148" s="3">
        <v>2.93</v>
      </c>
      <c r="R148" s="3" t="s">
        <v>226</v>
      </c>
      <c r="S148" s="3" t="s">
        <v>21</v>
      </c>
      <c r="T148" s="3">
        <v>3.7</v>
      </c>
    </row>
    <row r="149" spans="1:20" x14ac:dyDescent="0.35">
      <c r="A149" s="4" t="s">
        <v>252</v>
      </c>
      <c r="B149" s="7">
        <v>46237</v>
      </c>
      <c r="C149" s="7">
        <f>Delivered_data[[#This Row],[order_date]]-WEEKDAY(Delivered_data[[#This Row],[order_date]],2)+1</f>
        <v>46237</v>
      </c>
      <c r="D149" s="4" t="s">
        <v>46</v>
      </c>
      <c r="E149" s="4" t="s">
        <v>58</v>
      </c>
      <c r="F149" s="20">
        <f>_xlfn.XLOOKUP(Delivered_data[[#This Row],[store_id]],blinkit_stores!A:A,blinkit_stores!F:F,"not found")</f>
        <v>0.7142857142857143</v>
      </c>
      <c r="G149" s="8">
        <v>0.48541666666666666</v>
      </c>
      <c r="H149" s="8" t="str">
        <f>IF(AND(Delivered_data[[#This Row],[order_time]]&gt;=TIME(19,0,0),Delivered_data[[#This Row],[order_time]]&lt;=TIME(22,59,59)),"Peak","Non-Peak")</f>
        <v>Non-Peak</v>
      </c>
      <c r="I149" s="4">
        <v>5</v>
      </c>
      <c r="J149" s="4">
        <v>553.78</v>
      </c>
      <c r="K149" s="4">
        <v>3.39</v>
      </c>
      <c r="L149" s="4">
        <v>1.03</v>
      </c>
      <c r="M149" s="4">
        <v>1.29</v>
      </c>
      <c r="N149" s="4">
        <v>1.17</v>
      </c>
      <c r="O149" s="4">
        <v>6.47</v>
      </c>
      <c r="P149" s="4">
        <v>13.35</v>
      </c>
      <c r="Q149" s="4">
        <v>2.63</v>
      </c>
      <c r="R149" s="4" t="s">
        <v>188</v>
      </c>
      <c r="S149" s="4" t="s">
        <v>21</v>
      </c>
      <c r="T149" s="4">
        <v>4.4000000000000004</v>
      </c>
    </row>
    <row r="150" spans="1:20" x14ac:dyDescent="0.35">
      <c r="A150" s="3" t="s">
        <v>253</v>
      </c>
      <c r="B150" s="5">
        <v>46242</v>
      </c>
      <c r="C150" s="5">
        <f>Delivered_data[[#This Row],[order_date]]-WEEKDAY(Delivered_data[[#This Row],[order_date]],2)+1</f>
        <v>46237</v>
      </c>
      <c r="D150" s="3" t="s">
        <v>18</v>
      </c>
      <c r="E150" s="3" t="s">
        <v>42</v>
      </c>
      <c r="F150" s="19">
        <f>_xlfn.XLOOKUP(Delivered_data[[#This Row],[store_id]],blinkit_stores!A:A,blinkit_stores!F:F,"not found")</f>
        <v>0.625</v>
      </c>
      <c r="G150" s="6">
        <v>0.68888888888888888</v>
      </c>
      <c r="H150" s="6" t="str">
        <f>IF(AND(Delivered_data[[#This Row],[order_time]]&gt;=TIME(19,0,0),Delivered_data[[#This Row],[order_time]]&lt;=TIME(22,59,59)),"Peak","Non-Peak")</f>
        <v>Non-Peak</v>
      </c>
      <c r="I150" s="3">
        <v>8</v>
      </c>
      <c r="J150" s="3">
        <v>364.68</v>
      </c>
      <c r="K150" s="3">
        <v>3.47</v>
      </c>
      <c r="L150" s="3">
        <v>1.06</v>
      </c>
      <c r="M150" s="3">
        <v>1.1299999999999999</v>
      </c>
      <c r="N150" s="3">
        <v>1.0900000000000001</v>
      </c>
      <c r="O150" s="3">
        <v>6.73</v>
      </c>
      <c r="P150" s="3">
        <v>13.48</v>
      </c>
      <c r="Q150" s="3">
        <v>2.5299999999999998</v>
      </c>
      <c r="R150" s="3" t="s">
        <v>205</v>
      </c>
      <c r="S150" s="3" t="s">
        <v>21</v>
      </c>
      <c r="T150" s="3">
        <v>4.5999999999999996</v>
      </c>
    </row>
    <row r="151" spans="1:20" x14ac:dyDescent="0.35">
      <c r="A151" s="4" t="s">
        <v>254</v>
      </c>
      <c r="B151" s="7">
        <v>46218</v>
      </c>
      <c r="C151" s="7">
        <f>Delivered_data[[#This Row],[order_date]]-WEEKDAY(Delivered_data[[#This Row],[order_date]],2)+1</f>
        <v>46216</v>
      </c>
      <c r="D151" s="4" t="s">
        <v>18</v>
      </c>
      <c r="E151" s="4" t="s">
        <v>19</v>
      </c>
      <c r="F151" s="20">
        <f>_xlfn.XLOOKUP(Delivered_data[[#This Row],[store_id]],blinkit_stores!A:A,blinkit_stores!F:F,"not found")</f>
        <v>0.375</v>
      </c>
      <c r="G151" s="8">
        <v>0.79097222222222219</v>
      </c>
      <c r="H151" s="8" t="str">
        <f>IF(AND(Delivered_data[[#This Row],[order_time]]&gt;=TIME(19,0,0),Delivered_data[[#This Row],[order_time]]&lt;=TIME(22,59,59)),"Peak","Non-Peak")</f>
        <v>Non-Peak</v>
      </c>
      <c r="I151" s="4">
        <v>5</v>
      </c>
      <c r="J151" s="4">
        <v>423.26</v>
      </c>
      <c r="K151" s="4">
        <v>3</v>
      </c>
      <c r="L151" s="4">
        <v>0.76</v>
      </c>
      <c r="M151" s="4">
        <v>0.75</v>
      </c>
      <c r="N151" s="4">
        <v>0.6</v>
      </c>
      <c r="O151" s="4">
        <v>5.99</v>
      </c>
      <c r="P151" s="4">
        <v>11.1</v>
      </c>
      <c r="Q151" s="4">
        <v>2.5499999999999998</v>
      </c>
      <c r="R151" s="4" t="s">
        <v>38</v>
      </c>
      <c r="S151" s="4" t="s">
        <v>21</v>
      </c>
      <c r="T151" s="4">
        <v>4.4000000000000004</v>
      </c>
    </row>
    <row r="152" spans="1:20" x14ac:dyDescent="0.35">
      <c r="A152" s="3" t="s">
        <v>255</v>
      </c>
      <c r="B152" s="5">
        <v>46216</v>
      </c>
      <c r="C152" s="5">
        <f>Delivered_data[[#This Row],[order_date]]-WEEKDAY(Delivered_data[[#This Row],[order_date]],2)+1</f>
        <v>46216</v>
      </c>
      <c r="D152" s="3" t="s">
        <v>23</v>
      </c>
      <c r="E152" s="3" t="s">
        <v>50</v>
      </c>
      <c r="F152" s="19">
        <f>_xlfn.XLOOKUP(Delivered_data[[#This Row],[store_id]],blinkit_stores!A:A,blinkit_stores!F:F,"not found")</f>
        <v>0.33333333333333331</v>
      </c>
      <c r="G152" s="6">
        <v>0.13194444444444445</v>
      </c>
      <c r="H152" s="6" t="str">
        <f>IF(AND(Delivered_data[[#This Row],[order_time]]&gt;=TIME(19,0,0),Delivered_data[[#This Row],[order_time]]&lt;=TIME(22,59,59)),"Peak","Non-Peak")</f>
        <v>Non-Peak</v>
      </c>
      <c r="I152" s="3">
        <v>7</v>
      </c>
      <c r="J152" s="3">
        <v>706.72</v>
      </c>
      <c r="K152" s="3">
        <v>3.43</v>
      </c>
      <c r="L152" s="3">
        <v>1.21</v>
      </c>
      <c r="M152" s="3">
        <v>0.52</v>
      </c>
      <c r="N152" s="3">
        <v>0.87</v>
      </c>
      <c r="O152" s="3">
        <v>3.21</v>
      </c>
      <c r="P152" s="3">
        <v>9.24</v>
      </c>
      <c r="Q152" s="3">
        <v>0.47</v>
      </c>
      <c r="R152" s="3" t="s">
        <v>48</v>
      </c>
      <c r="S152" s="3" t="s">
        <v>21</v>
      </c>
      <c r="T152" s="3">
        <v>4.9000000000000004</v>
      </c>
    </row>
    <row r="153" spans="1:20" x14ac:dyDescent="0.35">
      <c r="A153" s="4" t="s">
        <v>256</v>
      </c>
      <c r="B153" s="7">
        <v>46218</v>
      </c>
      <c r="C153" s="7">
        <f>Delivered_data[[#This Row],[order_date]]-WEEKDAY(Delivered_data[[#This Row],[order_date]],2)+1</f>
        <v>46216</v>
      </c>
      <c r="D153" s="4" t="s">
        <v>23</v>
      </c>
      <c r="E153" s="4" t="s">
        <v>24</v>
      </c>
      <c r="F153" s="20">
        <f>_xlfn.XLOOKUP(Delivered_data[[#This Row],[store_id]],blinkit_stores!A:A,blinkit_stores!F:F,"not found")</f>
        <v>0.8571428571428571</v>
      </c>
      <c r="G153" s="8">
        <v>0.17499999999999999</v>
      </c>
      <c r="H153" s="8" t="str">
        <f>IF(AND(Delivered_data[[#This Row],[order_time]]&gt;=TIME(19,0,0),Delivered_data[[#This Row],[order_time]]&lt;=TIME(22,59,59)),"Peak","Non-Peak")</f>
        <v>Non-Peak</v>
      </c>
      <c r="I153" s="4">
        <v>4</v>
      </c>
      <c r="J153" s="4">
        <v>520.39</v>
      </c>
      <c r="K153" s="4">
        <v>2.63</v>
      </c>
      <c r="L153" s="4">
        <v>0.92</v>
      </c>
      <c r="M153" s="4">
        <v>0.99</v>
      </c>
      <c r="N153" s="4">
        <v>0.62</v>
      </c>
      <c r="O153" s="4">
        <v>5.9</v>
      </c>
      <c r="P153" s="4">
        <v>11.06</v>
      </c>
      <c r="Q153" s="4">
        <v>1.95</v>
      </c>
      <c r="R153" s="4" t="s">
        <v>137</v>
      </c>
      <c r="S153" s="4" t="s">
        <v>21</v>
      </c>
      <c r="T153" s="4">
        <v>5</v>
      </c>
    </row>
    <row r="154" spans="1:20" x14ac:dyDescent="0.35">
      <c r="A154" s="3" t="s">
        <v>257</v>
      </c>
      <c r="B154" s="5">
        <v>46220</v>
      </c>
      <c r="C154" s="5">
        <f>Delivered_data[[#This Row],[order_date]]-WEEKDAY(Delivered_data[[#This Row],[order_date]],2)+1</f>
        <v>46216</v>
      </c>
      <c r="D154" s="3" t="s">
        <v>18</v>
      </c>
      <c r="E154" s="3" t="s">
        <v>19</v>
      </c>
      <c r="F154" s="19">
        <f>_xlfn.XLOOKUP(Delivered_data[[#This Row],[store_id]],blinkit_stores!A:A,blinkit_stores!F:F,"not found")</f>
        <v>0.375</v>
      </c>
      <c r="G154" s="6">
        <v>0.68055555555555558</v>
      </c>
      <c r="H154" s="6" t="str">
        <f>IF(AND(Delivered_data[[#This Row],[order_time]]&gt;=TIME(19,0,0),Delivered_data[[#This Row],[order_time]]&lt;=TIME(22,59,59)),"Peak","Non-Peak")</f>
        <v>Non-Peak</v>
      </c>
      <c r="I154" s="3">
        <v>9</v>
      </c>
      <c r="J154" s="3">
        <v>241.11</v>
      </c>
      <c r="K154" s="3">
        <v>4.0599999999999996</v>
      </c>
      <c r="L154" s="3">
        <v>1.1599999999999999</v>
      </c>
      <c r="M154" s="3">
        <v>0.9</v>
      </c>
      <c r="N154" s="3">
        <v>0.62</v>
      </c>
      <c r="O154" s="3">
        <v>7.1</v>
      </c>
      <c r="P154" s="3">
        <v>13.84</v>
      </c>
      <c r="Q154" s="3">
        <v>2.96</v>
      </c>
      <c r="R154" s="3" t="s">
        <v>258</v>
      </c>
      <c r="S154" s="3" t="s">
        <v>21</v>
      </c>
      <c r="T154" s="3">
        <v>4.8</v>
      </c>
    </row>
    <row r="155" spans="1:20" x14ac:dyDescent="0.35">
      <c r="A155" s="4" t="s">
        <v>259</v>
      </c>
      <c r="B155" s="7">
        <v>46230</v>
      </c>
      <c r="C155" s="7">
        <f>Delivered_data[[#This Row],[order_date]]-WEEKDAY(Delivered_data[[#This Row],[order_date]],2)+1</f>
        <v>46230</v>
      </c>
      <c r="D155" s="4" t="s">
        <v>23</v>
      </c>
      <c r="E155" s="4" t="s">
        <v>50</v>
      </c>
      <c r="F155" s="20">
        <f>_xlfn.XLOOKUP(Delivered_data[[#This Row],[store_id]],blinkit_stores!A:A,blinkit_stores!F:F,"not found")</f>
        <v>0.33333333333333331</v>
      </c>
      <c r="G155" s="8">
        <v>0.64375000000000004</v>
      </c>
      <c r="H155" s="8" t="str">
        <f>IF(AND(Delivered_data[[#This Row],[order_time]]&gt;=TIME(19,0,0),Delivered_data[[#This Row],[order_time]]&lt;=TIME(22,59,59)),"Peak","Non-Peak")</f>
        <v>Non-Peak</v>
      </c>
      <c r="I155" s="4">
        <v>7</v>
      </c>
      <c r="J155" s="4">
        <v>665.46</v>
      </c>
      <c r="K155" s="4">
        <v>3.62</v>
      </c>
      <c r="L155" s="4">
        <v>1.01</v>
      </c>
      <c r="M155" s="4">
        <v>1.1599999999999999</v>
      </c>
      <c r="N155" s="4">
        <v>0.78</v>
      </c>
      <c r="O155" s="4">
        <v>6</v>
      </c>
      <c r="P155" s="4">
        <v>12.57</v>
      </c>
      <c r="Q155" s="4">
        <v>2.16</v>
      </c>
      <c r="R155" s="4" t="s">
        <v>260</v>
      </c>
      <c r="S155" s="4" t="s">
        <v>21</v>
      </c>
      <c r="T155" s="4">
        <v>4.3</v>
      </c>
    </row>
    <row r="156" spans="1:20" x14ac:dyDescent="0.35">
      <c r="A156" s="3" t="s">
        <v>261</v>
      </c>
      <c r="B156" s="5">
        <v>46229</v>
      </c>
      <c r="C156" s="5">
        <f>Delivered_data[[#This Row],[order_date]]-WEEKDAY(Delivered_data[[#This Row],[order_date]],2)+1</f>
        <v>46223</v>
      </c>
      <c r="D156" s="3" t="s">
        <v>18</v>
      </c>
      <c r="E156" s="3" t="s">
        <v>42</v>
      </c>
      <c r="F156" s="19">
        <f>_xlfn.XLOOKUP(Delivered_data[[#This Row],[store_id]],blinkit_stores!A:A,blinkit_stores!F:F,"not found")</f>
        <v>0.625</v>
      </c>
      <c r="G156" s="6">
        <v>0.82222222222222219</v>
      </c>
      <c r="H156" s="6" t="str">
        <f>IF(AND(Delivered_data[[#This Row],[order_time]]&gt;=TIME(19,0,0),Delivered_data[[#This Row],[order_time]]&lt;=TIME(22,59,59)),"Peak","Non-Peak")</f>
        <v>Peak</v>
      </c>
      <c r="I156" s="3">
        <v>2</v>
      </c>
      <c r="J156" s="3">
        <v>379.73</v>
      </c>
      <c r="K156" s="3">
        <v>1.63</v>
      </c>
      <c r="L156" s="3">
        <v>0.85</v>
      </c>
      <c r="M156" s="3">
        <v>1.59</v>
      </c>
      <c r="N156" s="3">
        <v>1.1399999999999999</v>
      </c>
      <c r="O156" s="3">
        <v>4.5999999999999996</v>
      </c>
      <c r="P156" s="3">
        <v>9.81</v>
      </c>
      <c r="Q156" s="3">
        <v>1.19</v>
      </c>
      <c r="R156" s="3" t="s">
        <v>167</v>
      </c>
      <c r="S156" s="3" t="s">
        <v>21</v>
      </c>
      <c r="T156" s="3">
        <v>4.3</v>
      </c>
    </row>
    <row r="157" spans="1:20" x14ac:dyDescent="0.35">
      <c r="A157" s="4" t="s">
        <v>262</v>
      </c>
      <c r="B157" s="7">
        <v>46218</v>
      </c>
      <c r="C157" s="7">
        <f>Delivered_data[[#This Row],[order_date]]-WEEKDAY(Delivered_data[[#This Row],[order_date]],2)+1</f>
        <v>46216</v>
      </c>
      <c r="D157" s="4" t="s">
        <v>23</v>
      </c>
      <c r="E157" s="4" t="s">
        <v>35</v>
      </c>
      <c r="F157" s="20">
        <f>_xlfn.XLOOKUP(Delivered_data[[#This Row],[store_id]],blinkit_stores!A:A,blinkit_stores!F:F,"not found")</f>
        <v>0.5</v>
      </c>
      <c r="G157" s="8">
        <v>0.8881944444444444</v>
      </c>
      <c r="H157" s="8" t="str">
        <f>IF(AND(Delivered_data[[#This Row],[order_time]]&gt;=TIME(19,0,0),Delivered_data[[#This Row],[order_time]]&lt;=TIME(22,59,59)),"Peak","Non-Peak")</f>
        <v>Peak</v>
      </c>
      <c r="I157" s="4">
        <v>5</v>
      </c>
      <c r="J157" s="4">
        <v>837.19</v>
      </c>
      <c r="K157" s="4">
        <v>3.36</v>
      </c>
      <c r="L157" s="4">
        <v>0.81</v>
      </c>
      <c r="M157" s="4">
        <v>1.25</v>
      </c>
      <c r="N157" s="4">
        <v>1</v>
      </c>
      <c r="O157" s="4">
        <v>5.94</v>
      </c>
      <c r="P157" s="4">
        <v>12.36</v>
      </c>
      <c r="Q157" s="4">
        <v>2.4</v>
      </c>
      <c r="R157" s="4" t="s">
        <v>40</v>
      </c>
      <c r="S157" s="4" t="s">
        <v>21</v>
      </c>
      <c r="T157" s="4">
        <v>4.5999999999999996</v>
      </c>
    </row>
    <row r="158" spans="1:20" x14ac:dyDescent="0.35">
      <c r="A158" s="3" t="s">
        <v>263</v>
      </c>
      <c r="B158" s="5">
        <v>46216</v>
      </c>
      <c r="C158" s="5">
        <f>Delivered_data[[#This Row],[order_date]]-WEEKDAY(Delivered_data[[#This Row],[order_date]],2)+1</f>
        <v>46216</v>
      </c>
      <c r="D158" s="3" t="s">
        <v>46</v>
      </c>
      <c r="E158" s="3" t="s">
        <v>47</v>
      </c>
      <c r="F158" s="19">
        <f>_xlfn.XLOOKUP(Delivered_data[[#This Row],[store_id]],blinkit_stores!A:A,blinkit_stores!F:F,"not found")</f>
        <v>1.5</v>
      </c>
      <c r="G158" s="6">
        <v>0.93472222222222223</v>
      </c>
      <c r="H158" s="6" t="str">
        <f>IF(AND(Delivered_data[[#This Row],[order_time]]&gt;=TIME(19,0,0),Delivered_data[[#This Row],[order_time]]&lt;=TIME(22,59,59)),"Peak","Non-Peak")</f>
        <v>Peak</v>
      </c>
      <c r="I158" s="3">
        <v>4</v>
      </c>
      <c r="J158" s="3">
        <v>694.41</v>
      </c>
      <c r="K158" s="3">
        <v>2.1</v>
      </c>
      <c r="L158" s="3">
        <v>1.07</v>
      </c>
      <c r="M158" s="3">
        <v>2.0299999999999998</v>
      </c>
      <c r="N158" s="3">
        <v>0.69</v>
      </c>
      <c r="O158" s="3">
        <v>9.4</v>
      </c>
      <c r="P158" s="3">
        <v>15.29</v>
      </c>
      <c r="Q158" s="3">
        <v>3.98</v>
      </c>
      <c r="R158" s="3" t="s">
        <v>264</v>
      </c>
      <c r="S158" s="3" t="s">
        <v>21</v>
      </c>
      <c r="T158" s="3">
        <v>4.3</v>
      </c>
    </row>
    <row r="159" spans="1:20" x14ac:dyDescent="0.35">
      <c r="A159" s="4" t="s">
        <v>265</v>
      </c>
      <c r="B159" s="7">
        <v>46220</v>
      </c>
      <c r="C159" s="7">
        <f>Delivered_data[[#This Row],[order_date]]-WEEKDAY(Delivered_data[[#This Row],[order_date]],2)+1</f>
        <v>46216</v>
      </c>
      <c r="D159" s="4" t="s">
        <v>46</v>
      </c>
      <c r="E159" s="4" t="s">
        <v>47</v>
      </c>
      <c r="F159" s="20">
        <f>_xlfn.XLOOKUP(Delivered_data[[#This Row],[store_id]],blinkit_stores!A:A,blinkit_stores!F:F,"not found")</f>
        <v>1.5</v>
      </c>
      <c r="G159" s="8">
        <v>8.819444444444445E-2</v>
      </c>
      <c r="H159" s="8" t="str">
        <f>IF(AND(Delivered_data[[#This Row],[order_time]]&gt;=TIME(19,0,0),Delivered_data[[#This Row],[order_time]]&lt;=TIME(22,59,59)),"Peak","Non-Peak")</f>
        <v>Non-Peak</v>
      </c>
      <c r="I159" s="4">
        <v>4</v>
      </c>
      <c r="J159" s="4">
        <v>419.48</v>
      </c>
      <c r="K159" s="4">
        <v>3.04</v>
      </c>
      <c r="L159" s="4">
        <v>0.76</v>
      </c>
      <c r="M159" s="4">
        <v>0.57999999999999996</v>
      </c>
      <c r="N159" s="4">
        <v>0.31</v>
      </c>
      <c r="O159" s="4">
        <v>8.81</v>
      </c>
      <c r="P159" s="4">
        <v>13.5</v>
      </c>
      <c r="Q159" s="4">
        <v>3.32</v>
      </c>
      <c r="R159" s="4" t="s">
        <v>156</v>
      </c>
      <c r="S159" s="4" t="s">
        <v>21</v>
      </c>
      <c r="T159" s="4">
        <v>4.8</v>
      </c>
    </row>
    <row r="160" spans="1:20" x14ac:dyDescent="0.35">
      <c r="A160" s="3" t="s">
        <v>266</v>
      </c>
      <c r="B160" s="5">
        <v>46241</v>
      </c>
      <c r="C160" s="5">
        <f>Delivered_data[[#This Row],[order_date]]-WEEKDAY(Delivered_data[[#This Row],[order_date]],2)+1</f>
        <v>46237</v>
      </c>
      <c r="D160" s="3" t="s">
        <v>18</v>
      </c>
      <c r="E160" s="3" t="s">
        <v>31</v>
      </c>
      <c r="F160" s="19">
        <f>_xlfn.XLOOKUP(Delivered_data[[#This Row],[store_id]],blinkit_stores!A:A,blinkit_stores!F:F,"not found")</f>
        <v>0.7142857142857143</v>
      </c>
      <c r="G160" s="6">
        <v>1.1805555555555555E-2</v>
      </c>
      <c r="H160" s="6" t="str">
        <f>IF(AND(Delivered_data[[#This Row],[order_time]]&gt;=TIME(19,0,0),Delivered_data[[#This Row],[order_time]]&lt;=TIME(22,59,59)),"Peak","Non-Peak")</f>
        <v>Non-Peak</v>
      </c>
      <c r="I160" s="3">
        <v>6</v>
      </c>
      <c r="J160" s="3">
        <v>730.58</v>
      </c>
      <c r="K160" s="3">
        <v>3.51</v>
      </c>
      <c r="L160" s="3">
        <v>1.1100000000000001</v>
      </c>
      <c r="M160" s="3">
        <v>1.1599999999999999</v>
      </c>
      <c r="N160" s="3">
        <v>0.87</v>
      </c>
      <c r="O160" s="3">
        <v>6.03</v>
      </c>
      <c r="P160" s="3">
        <v>12.68</v>
      </c>
      <c r="Q160" s="3">
        <v>2.14</v>
      </c>
      <c r="R160" s="3" t="s">
        <v>83</v>
      </c>
      <c r="S160" s="3" t="s">
        <v>21</v>
      </c>
      <c r="T160" s="3">
        <v>4.4000000000000004</v>
      </c>
    </row>
    <row r="161" spans="1:20" x14ac:dyDescent="0.35">
      <c r="A161" s="4" t="s">
        <v>267</v>
      </c>
      <c r="B161" s="7">
        <v>46238</v>
      </c>
      <c r="C161" s="7">
        <f>Delivered_data[[#This Row],[order_date]]-WEEKDAY(Delivered_data[[#This Row],[order_date]],2)+1</f>
        <v>46237</v>
      </c>
      <c r="D161" s="4" t="s">
        <v>23</v>
      </c>
      <c r="E161" s="4" t="s">
        <v>50</v>
      </c>
      <c r="F161" s="20">
        <f>_xlfn.XLOOKUP(Delivered_data[[#This Row],[store_id]],blinkit_stores!A:A,blinkit_stores!F:F,"not found")</f>
        <v>0.33333333333333331</v>
      </c>
      <c r="G161" s="8">
        <v>0.3923611111111111</v>
      </c>
      <c r="H161" s="8" t="str">
        <f>IF(AND(Delivered_data[[#This Row],[order_time]]&gt;=TIME(19,0,0),Delivered_data[[#This Row],[order_time]]&lt;=TIME(22,59,59)),"Peak","Non-Peak")</f>
        <v>Non-Peak</v>
      </c>
      <c r="I161" s="4">
        <v>5</v>
      </c>
      <c r="J161" s="4">
        <v>512.21</v>
      </c>
      <c r="K161" s="4">
        <v>2.52</v>
      </c>
      <c r="L161" s="4">
        <v>0.91</v>
      </c>
      <c r="M161" s="4">
        <v>1.35</v>
      </c>
      <c r="N161" s="4">
        <v>0.77</v>
      </c>
      <c r="O161" s="4">
        <v>7.57</v>
      </c>
      <c r="P161" s="4">
        <v>13.12</v>
      </c>
      <c r="Q161" s="4">
        <v>3.06</v>
      </c>
      <c r="R161" s="4" t="s">
        <v>132</v>
      </c>
      <c r="S161" s="4" t="s">
        <v>21</v>
      </c>
      <c r="T161" s="4">
        <v>4.9000000000000004</v>
      </c>
    </row>
    <row r="162" spans="1:20" x14ac:dyDescent="0.35">
      <c r="A162" s="3" t="s">
        <v>268</v>
      </c>
      <c r="B162" s="5">
        <v>46229</v>
      </c>
      <c r="C162" s="5">
        <f>Delivered_data[[#This Row],[order_date]]-WEEKDAY(Delivered_data[[#This Row],[order_date]],2)+1</f>
        <v>46223</v>
      </c>
      <c r="D162" s="3" t="s">
        <v>23</v>
      </c>
      <c r="E162" s="3" t="s">
        <v>50</v>
      </c>
      <c r="F162" s="19">
        <f>_xlfn.XLOOKUP(Delivered_data[[#This Row],[store_id]],blinkit_stores!A:A,blinkit_stores!F:F,"not found")</f>
        <v>0.33333333333333331</v>
      </c>
      <c r="G162" s="6">
        <v>0.39513888888888887</v>
      </c>
      <c r="H162" s="6" t="str">
        <f>IF(AND(Delivered_data[[#This Row],[order_time]]&gt;=TIME(19,0,0),Delivered_data[[#This Row],[order_time]]&lt;=TIME(22,59,59)),"Peak","Non-Peak")</f>
        <v>Non-Peak</v>
      </c>
      <c r="I162" s="3">
        <v>6</v>
      </c>
      <c r="J162" s="3">
        <v>653.5</v>
      </c>
      <c r="K162" s="3">
        <v>2.98</v>
      </c>
      <c r="L162" s="3">
        <v>1.1000000000000001</v>
      </c>
      <c r="M162" s="3">
        <v>0.73</v>
      </c>
      <c r="N162" s="3">
        <v>0.66</v>
      </c>
      <c r="O162" s="3">
        <v>5.98</v>
      </c>
      <c r="P162" s="3">
        <v>11.45</v>
      </c>
      <c r="Q162" s="3">
        <v>1.87</v>
      </c>
      <c r="R162" s="3" t="s">
        <v>171</v>
      </c>
      <c r="S162" s="3" t="s">
        <v>21</v>
      </c>
      <c r="T162" s="3">
        <v>5</v>
      </c>
    </row>
    <row r="163" spans="1:20" x14ac:dyDescent="0.35">
      <c r="A163" s="4" t="s">
        <v>269</v>
      </c>
      <c r="B163" s="7">
        <v>46222</v>
      </c>
      <c r="C163" s="7">
        <f>Delivered_data[[#This Row],[order_date]]-WEEKDAY(Delivered_data[[#This Row],[order_date]],2)+1</f>
        <v>46216</v>
      </c>
      <c r="D163" s="4" t="s">
        <v>46</v>
      </c>
      <c r="E163" s="4" t="s">
        <v>58</v>
      </c>
      <c r="F163" s="20">
        <f>_xlfn.XLOOKUP(Delivered_data[[#This Row],[store_id]],blinkit_stores!A:A,blinkit_stores!F:F,"not found")</f>
        <v>0.7142857142857143</v>
      </c>
      <c r="G163" s="8">
        <v>0.93472222222222223</v>
      </c>
      <c r="H163" s="8" t="str">
        <f>IF(AND(Delivered_data[[#This Row],[order_time]]&gt;=TIME(19,0,0),Delivered_data[[#This Row],[order_time]]&lt;=TIME(22,59,59)),"Peak","Non-Peak")</f>
        <v>Peak</v>
      </c>
      <c r="I163" s="4">
        <v>2</v>
      </c>
      <c r="J163" s="4">
        <v>587.25</v>
      </c>
      <c r="K163" s="4">
        <v>1.85</v>
      </c>
      <c r="L163" s="4">
        <v>0.64</v>
      </c>
      <c r="M163" s="4">
        <v>2.02</v>
      </c>
      <c r="N163" s="4">
        <v>1.02</v>
      </c>
      <c r="O163" s="4">
        <v>3.78</v>
      </c>
      <c r="P163" s="4">
        <v>9.31</v>
      </c>
      <c r="Q163" s="4">
        <v>0.92</v>
      </c>
      <c r="R163" s="4" t="s">
        <v>65</v>
      </c>
      <c r="S163" s="4" t="s">
        <v>21</v>
      </c>
      <c r="T163" s="4">
        <v>5</v>
      </c>
    </row>
    <row r="164" spans="1:20" x14ac:dyDescent="0.35">
      <c r="A164" s="3" t="s">
        <v>270</v>
      </c>
      <c r="B164" s="5">
        <v>46242</v>
      </c>
      <c r="C164" s="5">
        <f>Delivered_data[[#This Row],[order_date]]-WEEKDAY(Delivered_data[[#This Row],[order_date]],2)+1</f>
        <v>46237</v>
      </c>
      <c r="D164" s="3" t="s">
        <v>46</v>
      </c>
      <c r="E164" s="3" t="s">
        <v>47</v>
      </c>
      <c r="F164" s="19">
        <f>_xlfn.XLOOKUP(Delivered_data[[#This Row],[store_id]],blinkit_stores!A:A,blinkit_stores!F:F,"not found")</f>
        <v>1.5</v>
      </c>
      <c r="G164" s="6">
        <v>0.47569444444444442</v>
      </c>
      <c r="H164" s="6" t="str">
        <f>IF(AND(Delivered_data[[#This Row],[order_time]]&gt;=TIME(19,0,0),Delivered_data[[#This Row],[order_time]]&lt;=TIME(22,59,59)),"Peak","Non-Peak")</f>
        <v>Non-Peak</v>
      </c>
      <c r="I164" s="3">
        <v>5</v>
      </c>
      <c r="J164" s="3">
        <v>347.66</v>
      </c>
      <c r="K164" s="3">
        <v>2.82</v>
      </c>
      <c r="L164" s="3">
        <v>0.93</v>
      </c>
      <c r="M164" s="3">
        <v>1.33</v>
      </c>
      <c r="N164" s="3">
        <v>0.83</v>
      </c>
      <c r="O164" s="3">
        <v>5.76</v>
      </c>
      <c r="P164" s="3">
        <v>11.67</v>
      </c>
      <c r="Q164" s="3">
        <v>1.37</v>
      </c>
      <c r="R164" s="3" t="s">
        <v>99</v>
      </c>
      <c r="S164" s="3" t="s">
        <v>21</v>
      </c>
      <c r="T164" s="3">
        <v>4.8</v>
      </c>
    </row>
    <row r="165" spans="1:20" x14ac:dyDescent="0.35">
      <c r="A165" s="4" t="s">
        <v>271</v>
      </c>
      <c r="B165" s="7">
        <v>46224</v>
      </c>
      <c r="C165" s="7">
        <f>Delivered_data[[#This Row],[order_date]]-WEEKDAY(Delivered_data[[#This Row],[order_date]],2)+1</f>
        <v>46223</v>
      </c>
      <c r="D165" s="4" t="s">
        <v>23</v>
      </c>
      <c r="E165" s="4" t="s">
        <v>50</v>
      </c>
      <c r="F165" s="20">
        <f>_xlfn.XLOOKUP(Delivered_data[[#This Row],[store_id]],blinkit_stores!A:A,blinkit_stores!F:F,"not found")</f>
        <v>0.33333333333333331</v>
      </c>
      <c r="G165" s="8">
        <v>0.43402777777777779</v>
      </c>
      <c r="H165" s="8" t="str">
        <f>IF(AND(Delivered_data[[#This Row],[order_time]]&gt;=TIME(19,0,0),Delivered_data[[#This Row],[order_time]]&lt;=TIME(22,59,59)),"Peak","Non-Peak")</f>
        <v>Non-Peak</v>
      </c>
      <c r="I165" s="4">
        <v>4</v>
      </c>
      <c r="J165" s="4">
        <v>384.16</v>
      </c>
      <c r="K165" s="4">
        <v>2.57</v>
      </c>
      <c r="L165" s="4">
        <v>0.87</v>
      </c>
      <c r="M165" s="4">
        <v>1.1100000000000001</v>
      </c>
      <c r="N165" s="4">
        <v>0.66</v>
      </c>
      <c r="O165" s="4">
        <v>8.41</v>
      </c>
      <c r="P165" s="4">
        <v>13.62</v>
      </c>
      <c r="Q165" s="4">
        <v>3.61</v>
      </c>
      <c r="R165" s="4" t="s">
        <v>65</v>
      </c>
      <c r="S165" s="4" t="s">
        <v>21</v>
      </c>
      <c r="T165" s="4">
        <v>4.5</v>
      </c>
    </row>
    <row r="166" spans="1:20" x14ac:dyDescent="0.35">
      <c r="A166" s="3" t="s">
        <v>272</v>
      </c>
      <c r="B166" s="5">
        <v>46230</v>
      </c>
      <c r="C166" s="5">
        <f>Delivered_data[[#This Row],[order_date]]-WEEKDAY(Delivered_data[[#This Row],[order_date]],2)+1</f>
        <v>46230</v>
      </c>
      <c r="D166" s="3" t="s">
        <v>18</v>
      </c>
      <c r="E166" s="3" t="s">
        <v>31</v>
      </c>
      <c r="F166" s="19">
        <f>_xlfn.XLOOKUP(Delivered_data[[#This Row],[store_id]],blinkit_stores!A:A,blinkit_stores!F:F,"not found")</f>
        <v>0.7142857142857143</v>
      </c>
      <c r="G166" s="6">
        <v>0.91041666666666665</v>
      </c>
      <c r="H166" s="6" t="str">
        <f>IF(AND(Delivered_data[[#This Row],[order_time]]&gt;=TIME(19,0,0),Delivered_data[[#This Row],[order_time]]&lt;=TIME(22,59,59)),"Peak","Non-Peak")</f>
        <v>Peak</v>
      </c>
      <c r="I166" s="3">
        <v>4</v>
      </c>
      <c r="J166" s="3">
        <v>685.39</v>
      </c>
      <c r="K166" s="3">
        <v>2.95</v>
      </c>
      <c r="L166" s="3">
        <v>0.75</v>
      </c>
      <c r="M166" s="3">
        <v>1.76</v>
      </c>
      <c r="N166" s="3">
        <v>1.05</v>
      </c>
      <c r="O166" s="3">
        <v>7.36</v>
      </c>
      <c r="P166" s="3">
        <v>13.87</v>
      </c>
      <c r="Q166" s="3">
        <v>2.2000000000000002</v>
      </c>
      <c r="R166" s="3" t="s">
        <v>226</v>
      </c>
      <c r="S166" s="3" t="s">
        <v>21</v>
      </c>
      <c r="T166" s="3">
        <v>4.4000000000000004</v>
      </c>
    </row>
    <row r="167" spans="1:20" x14ac:dyDescent="0.35">
      <c r="A167" s="4" t="s">
        <v>273</v>
      </c>
      <c r="B167" s="7">
        <v>46230</v>
      </c>
      <c r="C167" s="7">
        <f>Delivered_data[[#This Row],[order_date]]-WEEKDAY(Delivered_data[[#This Row],[order_date]],2)+1</f>
        <v>46230</v>
      </c>
      <c r="D167" s="4" t="s">
        <v>23</v>
      </c>
      <c r="E167" s="4" t="s">
        <v>35</v>
      </c>
      <c r="F167" s="20">
        <f>_xlfn.XLOOKUP(Delivered_data[[#This Row],[store_id]],blinkit_stores!A:A,blinkit_stores!F:F,"not found")</f>
        <v>0.5</v>
      </c>
      <c r="G167" s="8">
        <v>0.59236111111111112</v>
      </c>
      <c r="H167" s="8" t="str">
        <f>IF(AND(Delivered_data[[#This Row],[order_time]]&gt;=TIME(19,0,0),Delivered_data[[#This Row],[order_time]]&lt;=TIME(22,59,59)),"Peak","Non-Peak")</f>
        <v>Non-Peak</v>
      </c>
      <c r="I167" s="4">
        <v>6</v>
      </c>
      <c r="J167" s="4">
        <v>439.74</v>
      </c>
      <c r="K167" s="4">
        <v>3.58</v>
      </c>
      <c r="L167" s="4">
        <v>1.1200000000000001</v>
      </c>
      <c r="M167" s="4">
        <v>1.76</v>
      </c>
      <c r="N167" s="4">
        <v>0.94</v>
      </c>
      <c r="O167" s="4">
        <v>5.37</v>
      </c>
      <c r="P167" s="4">
        <v>12.77</v>
      </c>
      <c r="Q167" s="4">
        <v>1.98</v>
      </c>
      <c r="R167" s="4" t="s">
        <v>274</v>
      </c>
      <c r="S167" s="4" t="s">
        <v>21</v>
      </c>
      <c r="T167" s="4">
        <v>5</v>
      </c>
    </row>
    <row r="168" spans="1:20" x14ac:dyDescent="0.35">
      <c r="A168" s="3" t="s">
        <v>275</v>
      </c>
      <c r="B168" s="5">
        <v>46241</v>
      </c>
      <c r="C168" s="5">
        <f>Delivered_data[[#This Row],[order_date]]-WEEKDAY(Delivered_data[[#This Row],[order_date]],2)+1</f>
        <v>46237</v>
      </c>
      <c r="D168" s="3" t="s">
        <v>23</v>
      </c>
      <c r="E168" s="3" t="s">
        <v>50</v>
      </c>
      <c r="F168" s="19">
        <f>_xlfn.XLOOKUP(Delivered_data[[#This Row],[store_id]],blinkit_stores!A:A,blinkit_stores!F:F,"not found")</f>
        <v>0.33333333333333331</v>
      </c>
      <c r="G168" s="6">
        <v>0.66736111111111107</v>
      </c>
      <c r="H168" s="6" t="str">
        <f>IF(AND(Delivered_data[[#This Row],[order_time]]&gt;=TIME(19,0,0),Delivered_data[[#This Row],[order_time]]&lt;=TIME(22,59,59)),"Peak","Non-Peak")</f>
        <v>Non-Peak</v>
      </c>
      <c r="I168" s="3">
        <v>3</v>
      </c>
      <c r="J168" s="3">
        <v>427.34</v>
      </c>
      <c r="K168" s="3">
        <v>2.95</v>
      </c>
      <c r="L168" s="3">
        <v>0.73</v>
      </c>
      <c r="M168" s="3">
        <v>1.2</v>
      </c>
      <c r="N168" s="3">
        <v>0.51</v>
      </c>
      <c r="O168" s="3">
        <v>6.69</v>
      </c>
      <c r="P168" s="3">
        <v>12.08</v>
      </c>
      <c r="Q168" s="3">
        <v>1.93</v>
      </c>
      <c r="R168" s="3" t="s">
        <v>174</v>
      </c>
      <c r="S168" s="3" t="s">
        <v>21</v>
      </c>
      <c r="T168" s="3">
        <v>4.5</v>
      </c>
    </row>
    <row r="169" spans="1:20" x14ac:dyDescent="0.35">
      <c r="A169" s="4" t="s">
        <v>276</v>
      </c>
      <c r="B169" s="7">
        <v>46225</v>
      </c>
      <c r="C169" s="7">
        <f>Delivered_data[[#This Row],[order_date]]-WEEKDAY(Delivered_data[[#This Row],[order_date]],2)+1</f>
        <v>46223</v>
      </c>
      <c r="D169" s="4" t="s">
        <v>23</v>
      </c>
      <c r="E169" s="4" t="s">
        <v>50</v>
      </c>
      <c r="F169" s="20">
        <f>_xlfn.XLOOKUP(Delivered_data[[#This Row],[store_id]],blinkit_stores!A:A,blinkit_stores!F:F,"not found")</f>
        <v>0.33333333333333331</v>
      </c>
      <c r="G169" s="8">
        <v>0.10694444444444444</v>
      </c>
      <c r="H169" s="8" t="str">
        <f>IF(AND(Delivered_data[[#This Row],[order_time]]&gt;=TIME(19,0,0),Delivered_data[[#This Row],[order_time]]&lt;=TIME(22,59,59)),"Peak","Non-Peak")</f>
        <v>Non-Peak</v>
      </c>
      <c r="I169" s="4">
        <v>4</v>
      </c>
      <c r="J169" s="4">
        <v>328.08</v>
      </c>
      <c r="K169" s="4">
        <v>2.48</v>
      </c>
      <c r="L169" s="4">
        <v>0.84</v>
      </c>
      <c r="M169" s="4">
        <v>0.74</v>
      </c>
      <c r="N169" s="4">
        <v>0.56000000000000005</v>
      </c>
      <c r="O169" s="4">
        <v>9.19</v>
      </c>
      <c r="P169" s="4">
        <v>13.81</v>
      </c>
      <c r="Q169" s="4">
        <v>3.91</v>
      </c>
      <c r="R169" s="4" t="s">
        <v>184</v>
      </c>
      <c r="S169" s="4" t="s">
        <v>21</v>
      </c>
      <c r="T169" s="4">
        <v>4.5999999999999996</v>
      </c>
    </row>
    <row r="170" spans="1:20" x14ac:dyDescent="0.35">
      <c r="A170" s="3" t="s">
        <v>277</v>
      </c>
      <c r="B170" s="5">
        <v>46243</v>
      </c>
      <c r="C170" s="5">
        <f>Delivered_data[[#This Row],[order_date]]-WEEKDAY(Delivered_data[[#This Row],[order_date]],2)+1</f>
        <v>46237</v>
      </c>
      <c r="D170" s="3" t="s">
        <v>23</v>
      </c>
      <c r="E170" s="3" t="s">
        <v>24</v>
      </c>
      <c r="F170" s="19">
        <f>_xlfn.XLOOKUP(Delivered_data[[#This Row],[store_id]],blinkit_stores!A:A,blinkit_stores!F:F,"not found")</f>
        <v>0.8571428571428571</v>
      </c>
      <c r="G170" s="6">
        <v>0.33958333333333335</v>
      </c>
      <c r="H170" s="6" t="str">
        <f>IF(AND(Delivered_data[[#This Row],[order_time]]&gt;=TIME(19,0,0),Delivered_data[[#This Row],[order_time]]&lt;=TIME(22,59,59)),"Peak","Non-Peak")</f>
        <v>Non-Peak</v>
      </c>
      <c r="I170" s="3">
        <v>7</v>
      </c>
      <c r="J170" s="3">
        <v>576.25</v>
      </c>
      <c r="K170" s="3">
        <v>3.27</v>
      </c>
      <c r="L170" s="3">
        <v>0.99</v>
      </c>
      <c r="M170" s="3">
        <v>1.1599999999999999</v>
      </c>
      <c r="N170" s="3">
        <v>0.95</v>
      </c>
      <c r="O170" s="3">
        <v>8.68</v>
      </c>
      <c r="P170" s="3">
        <v>15.05</v>
      </c>
      <c r="Q170" s="3">
        <v>3.66</v>
      </c>
      <c r="R170" s="3" t="s">
        <v>83</v>
      </c>
      <c r="S170" s="3" t="s">
        <v>21</v>
      </c>
      <c r="T170" s="3">
        <v>4.4000000000000004</v>
      </c>
    </row>
    <row r="171" spans="1:20" x14ac:dyDescent="0.35">
      <c r="A171" s="4" t="s">
        <v>278</v>
      </c>
      <c r="B171" s="7">
        <v>46228</v>
      </c>
      <c r="C171" s="7">
        <f>Delivered_data[[#This Row],[order_date]]-WEEKDAY(Delivered_data[[#This Row],[order_date]],2)+1</f>
        <v>46223</v>
      </c>
      <c r="D171" s="4" t="s">
        <v>46</v>
      </c>
      <c r="E171" s="4" t="s">
        <v>58</v>
      </c>
      <c r="F171" s="20">
        <f>_xlfn.XLOOKUP(Delivered_data[[#This Row],[store_id]],blinkit_stores!A:A,blinkit_stores!F:F,"not found")</f>
        <v>0.7142857142857143</v>
      </c>
      <c r="G171" s="8">
        <v>0.97847222222222219</v>
      </c>
      <c r="H171" s="8" t="str">
        <f>IF(AND(Delivered_data[[#This Row],[order_time]]&gt;=TIME(19,0,0),Delivered_data[[#This Row],[order_time]]&lt;=TIME(22,59,59)),"Peak","Non-Peak")</f>
        <v>Non-Peak</v>
      </c>
      <c r="I171" s="4">
        <v>7</v>
      </c>
      <c r="J171" s="4">
        <v>871.25</v>
      </c>
      <c r="K171" s="4">
        <v>2.75</v>
      </c>
      <c r="L171" s="4">
        <v>0.8</v>
      </c>
      <c r="M171" s="4">
        <v>0.3</v>
      </c>
      <c r="N171" s="4">
        <v>0.89</v>
      </c>
      <c r="O171" s="4">
        <v>9.34</v>
      </c>
      <c r="P171" s="4">
        <v>14.08</v>
      </c>
      <c r="Q171" s="4">
        <v>4.2</v>
      </c>
      <c r="R171" s="4" t="s">
        <v>114</v>
      </c>
      <c r="S171" s="4" t="s">
        <v>21</v>
      </c>
      <c r="T171" s="4">
        <v>4.3</v>
      </c>
    </row>
    <row r="172" spans="1:20" x14ac:dyDescent="0.35">
      <c r="A172" s="3" t="s">
        <v>279</v>
      </c>
      <c r="B172" s="5">
        <v>46234</v>
      </c>
      <c r="C172" s="5">
        <f>Delivered_data[[#This Row],[order_date]]-WEEKDAY(Delivered_data[[#This Row],[order_date]],2)+1</f>
        <v>46230</v>
      </c>
      <c r="D172" s="3" t="s">
        <v>18</v>
      </c>
      <c r="E172" s="3" t="s">
        <v>19</v>
      </c>
      <c r="F172" s="19">
        <f>_xlfn.XLOOKUP(Delivered_data[[#This Row],[store_id]],blinkit_stores!A:A,blinkit_stores!F:F,"not found")</f>
        <v>0.375</v>
      </c>
      <c r="G172" s="6">
        <v>0.5444444444444444</v>
      </c>
      <c r="H172" s="6" t="str">
        <f>IF(AND(Delivered_data[[#This Row],[order_time]]&gt;=TIME(19,0,0),Delivered_data[[#This Row],[order_time]]&lt;=TIME(22,59,59)),"Peak","Non-Peak")</f>
        <v>Non-Peak</v>
      </c>
      <c r="I172" s="3">
        <v>6</v>
      </c>
      <c r="J172" s="3">
        <v>307.83999999999997</v>
      </c>
      <c r="K172" s="3">
        <v>2.84</v>
      </c>
      <c r="L172" s="3">
        <v>1.01</v>
      </c>
      <c r="M172" s="3">
        <v>1.1299999999999999</v>
      </c>
      <c r="N172" s="3">
        <v>0.7</v>
      </c>
      <c r="O172" s="3">
        <v>5.76</v>
      </c>
      <c r="P172" s="3">
        <v>11.44</v>
      </c>
      <c r="Q172" s="3">
        <v>2.06</v>
      </c>
      <c r="R172" s="3" t="s">
        <v>69</v>
      </c>
      <c r="S172" s="3" t="s">
        <v>21</v>
      </c>
      <c r="T172" s="3">
        <v>4.2</v>
      </c>
    </row>
    <row r="173" spans="1:20" x14ac:dyDescent="0.35">
      <c r="A173" s="4" t="s">
        <v>280</v>
      </c>
      <c r="B173" s="7">
        <v>46222</v>
      </c>
      <c r="C173" s="7">
        <f>Delivered_data[[#This Row],[order_date]]-WEEKDAY(Delivered_data[[#This Row],[order_date]],2)+1</f>
        <v>46216</v>
      </c>
      <c r="D173" s="4" t="s">
        <v>23</v>
      </c>
      <c r="E173" s="4" t="s">
        <v>24</v>
      </c>
      <c r="F173" s="20">
        <f>_xlfn.XLOOKUP(Delivered_data[[#This Row],[store_id]],blinkit_stores!A:A,blinkit_stores!F:F,"not found")</f>
        <v>0.8571428571428571</v>
      </c>
      <c r="G173" s="8">
        <v>0.78263888888888888</v>
      </c>
      <c r="H173" s="8" t="str">
        <f>IF(AND(Delivered_data[[#This Row],[order_time]]&gt;=TIME(19,0,0),Delivered_data[[#This Row],[order_time]]&lt;=TIME(22,59,59)),"Peak","Non-Peak")</f>
        <v>Non-Peak</v>
      </c>
      <c r="I173" s="4">
        <v>6</v>
      </c>
      <c r="J173" s="4">
        <v>504.36</v>
      </c>
      <c r="K173" s="4">
        <v>3.46</v>
      </c>
      <c r="L173" s="4">
        <v>1.32</v>
      </c>
      <c r="M173" s="4">
        <v>0.39</v>
      </c>
      <c r="N173" s="4">
        <v>0.21</v>
      </c>
      <c r="O173" s="4">
        <v>7.19</v>
      </c>
      <c r="P173" s="4">
        <v>12.57</v>
      </c>
      <c r="Q173" s="4">
        <v>2.4700000000000002</v>
      </c>
      <c r="R173" s="4" t="s">
        <v>198</v>
      </c>
      <c r="S173" s="4" t="s">
        <v>21</v>
      </c>
      <c r="T173" s="4">
        <v>4.8</v>
      </c>
    </row>
    <row r="174" spans="1:20" x14ac:dyDescent="0.35">
      <c r="A174" s="3" t="s">
        <v>281</v>
      </c>
      <c r="B174" s="5">
        <v>46232</v>
      </c>
      <c r="C174" s="5">
        <f>Delivered_data[[#This Row],[order_date]]-WEEKDAY(Delivered_data[[#This Row],[order_date]],2)+1</f>
        <v>46230</v>
      </c>
      <c r="D174" s="3" t="s">
        <v>18</v>
      </c>
      <c r="E174" s="3" t="s">
        <v>31</v>
      </c>
      <c r="F174" s="19">
        <f>_xlfn.XLOOKUP(Delivered_data[[#This Row],[store_id]],blinkit_stores!A:A,blinkit_stores!F:F,"not found")</f>
        <v>0.7142857142857143</v>
      </c>
      <c r="G174" s="6">
        <v>0.98333333333333328</v>
      </c>
      <c r="H174" s="6" t="str">
        <f>IF(AND(Delivered_data[[#This Row],[order_time]]&gt;=TIME(19,0,0),Delivered_data[[#This Row],[order_time]]&lt;=TIME(22,59,59)),"Peak","Non-Peak")</f>
        <v>Non-Peak</v>
      </c>
      <c r="I174" s="3">
        <v>6</v>
      </c>
      <c r="J174" s="3">
        <v>754.2</v>
      </c>
      <c r="K174" s="3">
        <v>3.69</v>
      </c>
      <c r="L174" s="3">
        <v>1.1200000000000001</v>
      </c>
      <c r="M174" s="3">
        <v>0.87</v>
      </c>
      <c r="N174" s="3">
        <v>0.9</v>
      </c>
      <c r="O174" s="3">
        <v>4.08</v>
      </c>
      <c r="P174" s="3">
        <v>10.66</v>
      </c>
      <c r="Q174" s="3">
        <v>0.84</v>
      </c>
      <c r="R174" s="3" t="s">
        <v>212</v>
      </c>
      <c r="S174" s="3" t="s">
        <v>21</v>
      </c>
      <c r="T174" s="3">
        <v>4.9000000000000004</v>
      </c>
    </row>
    <row r="175" spans="1:20" x14ac:dyDescent="0.35">
      <c r="A175" s="4" t="s">
        <v>283</v>
      </c>
      <c r="B175" s="7">
        <v>46219</v>
      </c>
      <c r="C175" s="7">
        <f>Delivered_data[[#This Row],[order_date]]-WEEKDAY(Delivered_data[[#This Row],[order_date]],2)+1</f>
        <v>46216</v>
      </c>
      <c r="D175" s="4" t="s">
        <v>46</v>
      </c>
      <c r="E175" s="4" t="s">
        <v>47</v>
      </c>
      <c r="F175" s="20">
        <f>_xlfn.XLOOKUP(Delivered_data[[#This Row],[store_id]],blinkit_stores!A:A,blinkit_stores!F:F,"not found")</f>
        <v>1.5</v>
      </c>
      <c r="G175" s="8">
        <v>0.83263888888888893</v>
      </c>
      <c r="H175" s="8" t="str">
        <f>IF(AND(Delivered_data[[#This Row],[order_time]]&gt;=TIME(19,0,0),Delivered_data[[#This Row],[order_time]]&lt;=TIME(22,59,59)),"Peak","Non-Peak")</f>
        <v>Peak</v>
      </c>
      <c r="I175" s="4">
        <v>6</v>
      </c>
      <c r="J175" s="4">
        <v>581.42999999999995</v>
      </c>
      <c r="K175" s="4">
        <v>2.91</v>
      </c>
      <c r="L175" s="4">
        <v>1</v>
      </c>
      <c r="M175" s="4">
        <v>2.04</v>
      </c>
      <c r="N175" s="4">
        <v>0.59</v>
      </c>
      <c r="O175" s="4">
        <v>4.6100000000000003</v>
      </c>
      <c r="P175" s="4">
        <v>11.15</v>
      </c>
      <c r="Q175" s="4">
        <v>1.4</v>
      </c>
      <c r="R175" s="4" t="s">
        <v>156</v>
      </c>
      <c r="S175" s="4" t="s">
        <v>21</v>
      </c>
      <c r="T175" s="4">
        <v>4.5999999999999996</v>
      </c>
    </row>
    <row r="176" spans="1:20" x14ac:dyDescent="0.35">
      <c r="A176" s="3" t="s">
        <v>284</v>
      </c>
      <c r="B176" s="5">
        <v>46220</v>
      </c>
      <c r="C176" s="5">
        <f>Delivered_data[[#This Row],[order_date]]-WEEKDAY(Delivered_data[[#This Row],[order_date]],2)+1</f>
        <v>46216</v>
      </c>
      <c r="D176" s="3" t="s">
        <v>23</v>
      </c>
      <c r="E176" s="3" t="s">
        <v>50</v>
      </c>
      <c r="F176" s="19">
        <f>_xlfn.XLOOKUP(Delivered_data[[#This Row],[store_id]],blinkit_stores!A:A,blinkit_stores!F:F,"not found")</f>
        <v>0.33333333333333331</v>
      </c>
      <c r="G176" s="6">
        <v>0.73750000000000004</v>
      </c>
      <c r="H176" s="6" t="str">
        <f>IF(AND(Delivered_data[[#This Row],[order_time]]&gt;=TIME(19,0,0),Delivered_data[[#This Row],[order_time]]&lt;=TIME(22,59,59)),"Peak","Non-Peak")</f>
        <v>Non-Peak</v>
      </c>
      <c r="I176" s="3">
        <v>6</v>
      </c>
      <c r="J176" s="3">
        <v>308.77</v>
      </c>
      <c r="K176" s="3">
        <v>3.11</v>
      </c>
      <c r="L176" s="3">
        <v>1.03</v>
      </c>
      <c r="M176" s="3">
        <v>0.53</v>
      </c>
      <c r="N176" s="3">
        <v>0.44</v>
      </c>
      <c r="O176" s="3">
        <v>6.32</v>
      </c>
      <c r="P176" s="3">
        <v>11.43</v>
      </c>
      <c r="Q176" s="3">
        <v>2.4</v>
      </c>
      <c r="R176" s="3" t="s">
        <v>150</v>
      </c>
      <c r="S176" s="3" t="s">
        <v>21</v>
      </c>
      <c r="T176" s="3">
        <v>5</v>
      </c>
    </row>
    <row r="177" spans="1:20" x14ac:dyDescent="0.35">
      <c r="A177" s="4" t="s">
        <v>285</v>
      </c>
      <c r="B177" s="7">
        <v>46238</v>
      </c>
      <c r="C177" s="7">
        <f>Delivered_data[[#This Row],[order_date]]-WEEKDAY(Delivered_data[[#This Row],[order_date]],2)+1</f>
        <v>46237</v>
      </c>
      <c r="D177" s="4" t="s">
        <v>23</v>
      </c>
      <c r="E177" s="4" t="s">
        <v>35</v>
      </c>
      <c r="F177" s="20">
        <f>_xlfn.XLOOKUP(Delivered_data[[#This Row],[store_id]],blinkit_stores!A:A,blinkit_stores!F:F,"not found")</f>
        <v>0.5</v>
      </c>
      <c r="G177" s="8">
        <v>0.52638888888888891</v>
      </c>
      <c r="H177" s="8" t="str">
        <f>IF(AND(Delivered_data[[#This Row],[order_time]]&gt;=TIME(19,0,0),Delivered_data[[#This Row],[order_time]]&lt;=TIME(22,59,59)),"Peak","Non-Peak")</f>
        <v>Non-Peak</v>
      </c>
      <c r="I177" s="4">
        <v>5</v>
      </c>
      <c r="J177" s="4">
        <v>577.1</v>
      </c>
      <c r="K177" s="4">
        <v>3</v>
      </c>
      <c r="L177" s="4">
        <v>1.02</v>
      </c>
      <c r="M177" s="4">
        <v>2</v>
      </c>
      <c r="N177" s="4">
        <v>0.88</v>
      </c>
      <c r="O177" s="4">
        <v>4.75</v>
      </c>
      <c r="P177" s="4">
        <v>11.65</v>
      </c>
      <c r="Q177" s="4">
        <v>1.21</v>
      </c>
      <c r="R177" s="4" t="s">
        <v>103</v>
      </c>
      <c r="S177" s="4" t="s">
        <v>21</v>
      </c>
      <c r="T177" s="4">
        <v>4.4000000000000004</v>
      </c>
    </row>
    <row r="178" spans="1:20" x14ac:dyDescent="0.35">
      <c r="A178" s="3" t="s">
        <v>286</v>
      </c>
      <c r="B178" s="5">
        <v>46222</v>
      </c>
      <c r="C178" s="5">
        <f>Delivered_data[[#This Row],[order_date]]-WEEKDAY(Delivered_data[[#This Row],[order_date]],2)+1</f>
        <v>46216</v>
      </c>
      <c r="D178" s="3" t="s">
        <v>23</v>
      </c>
      <c r="E178" s="3" t="s">
        <v>24</v>
      </c>
      <c r="F178" s="19">
        <f>_xlfn.XLOOKUP(Delivered_data[[#This Row],[store_id]],blinkit_stores!A:A,blinkit_stores!F:F,"not found")</f>
        <v>0.8571428571428571</v>
      </c>
      <c r="G178" s="6">
        <v>0.37291666666666667</v>
      </c>
      <c r="H178" s="6" t="str">
        <f>IF(AND(Delivered_data[[#This Row],[order_time]]&gt;=TIME(19,0,0),Delivered_data[[#This Row],[order_time]]&lt;=TIME(22,59,59)),"Peak","Non-Peak")</f>
        <v>Non-Peak</v>
      </c>
      <c r="I178" s="3">
        <v>4</v>
      </c>
      <c r="J178" s="3">
        <v>466.31</v>
      </c>
      <c r="K178" s="3">
        <v>2.4</v>
      </c>
      <c r="L178" s="3">
        <v>0.73</v>
      </c>
      <c r="M178" s="3">
        <v>0.56000000000000005</v>
      </c>
      <c r="N178" s="3">
        <v>0.44</v>
      </c>
      <c r="O178" s="3">
        <v>5.26</v>
      </c>
      <c r="P178" s="3">
        <v>9.39</v>
      </c>
      <c r="Q178" s="3">
        <v>1.67</v>
      </c>
      <c r="R178" s="3" t="s">
        <v>103</v>
      </c>
      <c r="S178" s="3" t="s">
        <v>21</v>
      </c>
      <c r="T178" s="3">
        <v>5</v>
      </c>
    </row>
    <row r="179" spans="1:20" x14ac:dyDescent="0.35">
      <c r="A179" s="4" t="s">
        <v>287</v>
      </c>
      <c r="B179" s="7">
        <v>46228</v>
      </c>
      <c r="C179" s="7">
        <f>Delivered_data[[#This Row],[order_date]]-WEEKDAY(Delivered_data[[#This Row],[order_date]],2)+1</f>
        <v>46223</v>
      </c>
      <c r="D179" s="4" t="s">
        <v>23</v>
      </c>
      <c r="E179" s="4" t="s">
        <v>50</v>
      </c>
      <c r="F179" s="20">
        <f>_xlfn.XLOOKUP(Delivered_data[[#This Row],[store_id]],blinkit_stores!A:A,blinkit_stores!F:F,"not found")</f>
        <v>0.33333333333333331</v>
      </c>
      <c r="G179" s="8">
        <v>0.63888888888888884</v>
      </c>
      <c r="H179" s="8" t="str">
        <f>IF(AND(Delivered_data[[#This Row],[order_time]]&gt;=TIME(19,0,0),Delivered_data[[#This Row],[order_time]]&lt;=TIME(22,59,59)),"Peak","Non-Peak")</f>
        <v>Non-Peak</v>
      </c>
      <c r="I179" s="4">
        <v>3</v>
      </c>
      <c r="J179" s="4">
        <v>677.43</v>
      </c>
      <c r="K179" s="4">
        <v>2.61</v>
      </c>
      <c r="L179" s="4">
        <v>0.92</v>
      </c>
      <c r="M179" s="4">
        <v>0.3</v>
      </c>
      <c r="N179" s="4">
        <v>0.27</v>
      </c>
      <c r="O179" s="4">
        <v>5.62</v>
      </c>
      <c r="P179" s="4">
        <v>9.7200000000000006</v>
      </c>
      <c r="Q179" s="4">
        <v>1.45</v>
      </c>
      <c r="R179" s="4" t="s">
        <v>63</v>
      </c>
      <c r="S179" s="4" t="s">
        <v>21</v>
      </c>
      <c r="T179" s="4">
        <v>4.2</v>
      </c>
    </row>
    <row r="180" spans="1:20" x14ac:dyDescent="0.35">
      <c r="A180" s="3" t="s">
        <v>288</v>
      </c>
      <c r="B180" s="5">
        <v>46230</v>
      </c>
      <c r="C180" s="5">
        <f>Delivered_data[[#This Row],[order_date]]-WEEKDAY(Delivered_data[[#This Row],[order_date]],2)+1</f>
        <v>46230</v>
      </c>
      <c r="D180" s="3" t="s">
        <v>23</v>
      </c>
      <c r="E180" s="3" t="s">
        <v>50</v>
      </c>
      <c r="F180" s="19">
        <f>_xlfn.XLOOKUP(Delivered_data[[#This Row],[store_id]],blinkit_stores!A:A,blinkit_stores!F:F,"not found")</f>
        <v>0.33333333333333331</v>
      </c>
      <c r="G180" s="6">
        <v>0.28263888888888888</v>
      </c>
      <c r="H180" s="6" t="str">
        <f>IF(AND(Delivered_data[[#This Row],[order_time]]&gt;=TIME(19,0,0),Delivered_data[[#This Row],[order_time]]&lt;=TIME(22,59,59)),"Peak","Non-Peak")</f>
        <v>Non-Peak</v>
      </c>
      <c r="I180" s="3">
        <v>4</v>
      </c>
      <c r="J180" s="3">
        <v>713.73</v>
      </c>
      <c r="K180" s="3">
        <v>2.5099999999999998</v>
      </c>
      <c r="L180" s="3">
        <v>0.96</v>
      </c>
      <c r="M180" s="3">
        <v>0.6</v>
      </c>
      <c r="N180" s="3">
        <v>0.95</v>
      </c>
      <c r="O180" s="3">
        <v>4.18</v>
      </c>
      <c r="P180" s="3">
        <v>9.1999999999999993</v>
      </c>
      <c r="Q180" s="3">
        <v>1.65</v>
      </c>
      <c r="R180" s="3" t="s">
        <v>205</v>
      </c>
      <c r="S180" s="3" t="s">
        <v>21</v>
      </c>
      <c r="T180" s="3">
        <v>5</v>
      </c>
    </row>
    <row r="181" spans="1:20" x14ac:dyDescent="0.35">
      <c r="A181" s="4" t="s">
        <v>289</v>
      </c>
      <c r="B181" s="7">
        <v>46226</v>
      </c>
      <c r="C181" s="7">
        <f>Delivered_data[[#This Row],[order_date]]-WEEKDAY(Delivered_data[[#This Row],[order_date]],2)+1</f>
        <v>46223</v>
      </c>
      <c r="D181" s="4" t="s">
        <v>18</v>
      </c>
      <c r="E181" s="4" t="s">
        <v>31</v>
      </c>
      <c r="F181" s="20">
        <f>_xlfn.XLOOKUP(Delivered_data[[#This Row],[store_id]],blinkit_stores!A:A,blinkit_stores!F:F,"not found")</f>
        <v>0.7142857142857143</v>
      </c>
      <c r="G181" s="8">
        <v>0.36388888888888887</v>
      </c>
      <c r="H181" s="8" t="str">
        <f>IF(AND(Delivered_data[[#This Row],[order_time]]&gt;=TIME(19,0,0),Delivered_data[[#This Row],[order_time]]&lt;=TIME(22,59,59)),"Peak","Non-Peak")</f>
        <v>Non-Peak</v>
      </c>
      <c r="I181" s="4">
        <v>4</v>
      </c>
      <c r="J181" s="4">
        <v>966.12</v>
      </c>
      <c r="K181" s="4">
        <v>2.67</v>
      </c>
      <c r="L181" s="4">
        <v>0.96</v>
      </c>
      <c r="M181" s="4">
        <v>1.65</v>
      </c>
      <c r="N181" s="4">
        <v>0.9</v>
      </c>
      <c r="O181" s="4">
        <v>5.43</v>
      </c>
      <c r="P181" s="4">
        <v>11.61</v>
      </c>
      <c r="Q181" s="4">
        <v>1.71</v>
      </c>
      <c r="R181" s="4" t="s">
        <v>79</v>
      </c>
      <c r="S181" s="4" t="s">
        <v>21</v>
      </c>
      <c r="T181" s="4">
        <v>5</v>
      </c>
    </row>
    <row r="182" spans="1:20" x14ac:dyDescent="0.35">
      <c r="A182" s="3" t="s">
        <v>290</v>
      </c>
      <c r="B182" s="5">
        <v>46219</v>
      </c>
      <c r="C182" s="5">
        <f>Delivered_data[[#This Row],[order_date]]-WEEKDAY(Delivered_data[[#This Row],[order_date]],2)+1</f>
        <v>46216</v>
      </c>
      <c r="D182" s="3" t="s">
        <v>23</v>
      </c>
      <c r="E182" s="3" t="s">
        <v>24</v>
      </c>
      <c r="F182" s="19">
        <f>_xlfn.XLOOKUP(Delivered_data[[#This Row],[store_id]],blinkit_stores!A:A,blinkit_stores!F:F,"not found")</f>
        <v>0.8571428571428571</v>
      </c>
      <c r="G182" s="6">
        <v>0.57430555555555551</v>
      </c>
      <c r="H182" s="6" t="str">
        <f>IF(AND(Delivered_data[[#This Row],[order_time]]&gt;=TIME(19,0,0),Delivered_data[[#This Row],[order_time]]&lt;=TIME(22,59,59)),"Peak","Non-Peak")</f>
        <v>Non-Peak</v>
      </c>
      <c r="I182" s="3">
        <v>6</v>
      </c>
      <c r="J182" s="3">
        <v>604.33000000000004</v>
      </c>
      <c r="K182" s="3">
        <v>3.31</v>
      </c>
      <c r="L182" s="3">
        <v>1.08</v>
      </c>
      <c r="M182" s="3">
        <v>0.7</v>
      </c>
      <c r="N182" s="3">
        <v>0.67</v>
      </c>
      <c r="O182" s="3">
        <v>4.3499999999999996</v>
      </c>
      <c r="P182" s="3">
        <v>10.11</v>
      </c>
      <c r="Q182" s="3">
        <v>1.71</v>
      </c>
      <c r="R182" s="3" t="s">
        <v>156</v>
      </c>
      <c r="S182" s="3" t="s">
        <v>21</v>
      </c>
      <c r="T182" s="3">
        <v>4.5999999999999996</v>
      </c>
    </row>
    <row r="183" spans="1:20" x14ac:dyDescent="0.35">
      <c r="A183" s="4" t="s">
        <v>291</v>
      </c>
      <c r="B183" s="7">
        <v>46228</v>
      </c>
      <c r="C183" s="7">
        <f>Delivered_data[[#This Row],[order_date]]-WEEKDAY(Delivered_data[[#This Row],[order_date]],2)+1</f>
        <v>46223</v>
      </c>
      <c r="D183" s="4" t="s">
        <v>23</v>
      </c>
      <c r="E183" s="4" t="s">
        <v>24</v>
      </c>
      <c r="F183" s="20">
        <f>_xlfn.XLOOKUP(Delivered_data[[#This Row],[store_id]],blinkit_stores!A:A,blinkit_stores!F:F,"not found")</f>
        <v>0.8571428571428571</v>
      </c>
      <c r="G183" s="8">
        <v>0.62638888888888888</v>
      </c>
      <c r="H183" s="8" t="str">
        <f>IF(AND(Delivered_data[[#This Row],[order_time]]&gt;=TIME(19,0,0),Delivered_data[[#This Row],[order_time]]&lt;=TIME(22,59,59)),"Peak","Non-Peak")</f>
        <v>Non-Peak</v>
      </c>
      <c r="I183" s="4">
        <v>7</v>
      </c>
      <c r="J183" s="4">
        <v>558.64</v>
      </c>
      <c r="K183" s="4">
        <v>3.34</v>
      </c>
      <c r="L183" s="4">
        <v>1.1100000000000001</v>
      </c>
      <c r="M183" s="4">
        <v>0.68</v>
      </c>
      <c r="N183" s="4">
        <v>0.47</v>
      </c>
      <c r="O183" s="4">
        <v>7.69</v>
      </c>
      <c r="P183" s="4">
        <v>13.29</v>
      </c>
      <c r="Q183" s="4">
        <v>2.95</v>
      </c>
      <c r="R183" s="4" t="s">
        <v>127</v>
      </c>
      <c r="S183" s="4" t="s">
        <v>21</v>
      </c>
      <c r="T183" s="4">
        <v>4.8</v>
      </c>
    </row>
    <row r="184" spans="1:20" x14ac:dyDescent="0.35">
      <c r="A184" s="3" t="s">
        <v>292</v>
      </c>
      <c r="B184" s="5">
        <v>46222</v>
      </c>
      <c r="C184" s="5">
        <f>Delivered_data[[#This Row],[order_date]]-WEEKDAY(Delivered_data[[#This Row],[order_date]],2)+1</f>
        <v>46216</v>
      </c>
      <c r="D184" s="3" t="s">
        <v>23</v>
      </c>
      <c r="E184" s="3" t="s">
        <v>35</v>
      </c>
      <c r="F184" s="19">
        <f>_xlfn.XLOOKUP(Delivered_data[[#This Row],[store_id]],blinkit_stores!A:A,blinkit_stores!F:F,"not found")</f>
        <v>0.5</v>
      </c>
      <c r="G184" s="6">
        <v>2.4305555555555556E-2</v>
      </c>
      <c r="H184" s="6" t="str">
        <f>IF(AND(Delivered_data[[#This Row],[order_time]]&gt;=TIME(19,0,0),Delivered_data[[#This Row],[order_time]]&lt;=TIME(22,59,59)),"Peak","Non-Peak")</f>
        <v>Non-Peak</v>
      </c>
      <c r="I184" s="3">
        <v>5</v>
      </c>
      <c r="J184" s="3">
        <v>534.99</v>
      </c>
      <c r="K184" s="3">
        <v>2.75</v>
      </c>
      <c r="L184" s="3">
        <v>1.03</v>
      </c>
      <c r="M184" s="3">
        <v>1.1599999999999999</v>
      </c>
      <c r="N184" s="3">
        <v>0.51</v>
      </c>
      <c r="O184" s="3">
        <v>4.5199999999999996</v>
      </c>
      <c r="P184" s="3">
        <v>9.9700000000000006</v>
      </c>
      <c r="Q184" s="3">
        <v>1.21</v>
      </c>
      <c r="R184" s="3" t="s">
        <v>116</v>
      </c>
      <c r="S184" s="3" t="s">
        <v>21</v>
      </c>
      <c r="T184" s="3">
        <v>5</v>
      </c>
    </row>
    <row r="185" spans="1:20" x14ac:dyDescent="0.35">
      <c r="A185" s="4" t="s">
        <v>293</v>
      </c>
      <c r="B185" s="7">
        <v>46242</v>
      </c>
      <c r="C185" s="7">
        <f>Delivered_data[[#This Row],[order_date]]-WEEKDAY(Delivered_data[[#This Row],[order_date]],2)+1</f>
        <v>46237</v>
      </c>
      <c r="D185" s="4" t="s">
        <v>23</v>
      </c>
      <c r="E185" s="4" t="s">
        <v>35</v>
      </c>
      <c r="F185" s="20">
        <f>_xlfn.XLOOKUP(Delivered_data[[#This Row],[store_id]],blinkit_stores!A:A,blinkit_stores!F:F,"not found")</f>
        <v>0.5</v>
      </c>
      <c r="G185" s="8">
        <v>0.47499999999999998</v>
      </c>
      <c r="H185" s="8" t="str">
        <f>IF(AND(Delivered_data[[#This Row],[order_time]]&gt;=TIME(19,0,0),Delivered_data[[#This Row],[order_time]]&lt;=TIME(22,59,59)),"Peak","Non-Peak")</f>
        <v>Non-Peak</v>
      </c>
      <c r="I185" s="4">
        <v>4</v>
      </c>
      <c r="J185" s="4">
        <v>436.43</v>
      </c>
      <c r="K185" s="4">
        <v>2.64</v>
      </c>
      <c r="L185" s="4">
        <v>0.94</v>
      </c>
      <c r="M185" s="4">
        <v>1.64</v>
      </c>
      <c r="N185" s="4">
        <v>0.91</v>
      </c>
      <c r="O185" s="4">
        <v>6.65</v>
      </c>
      <c r="P185" s="4">
        <v>12.78</v>
      </c>
      <c r="Q185" s="4">
        <v>2.4</v>
      </c>
      <c r="R185" s="4" t="s">
        <v>103</v>
      </c>
      <c r="S185" s="4" t="s">
        <v>21</v>
      </c>
      <c r="T185" s="4">
        <v>3.7</v>
      </c>
    </row>
    <row r="186" spans="1:20" x14ac:dyDescent="0.35">
      <c r="A186" s="3" t="s">
        <v>294</v>
      </c>
      <c r="B186" s="5">
        <v>46234</v>
      </c>
      <c r="C186" s="5">
        <f>Delivered_data[[#This Row],[order_date]]-WEEKDAY(Delivered_data[[#This Row],[order_date]],2)+1</f>
        <v>46230</v>
      </c>
      <c r="D186" s="3" t="s">
        <v>23</v>
      </c>
      <c r="E186" s="3" t="s">
        <v>50</v>
      </c>
      <c r="F186" s="19">
        <f>_xlfn.XLOOKUP(Delivered_data[[#This Row],[store_id]],blinkit_stores!A:A,blinkit_stores!F:F,"not found")</f>
        <v>0.33333333333333331</v>
      </c>
      <c r="G186" s="6">
        <v>1.3194444444444444E-2</v>
      </c>
      <c r="H186" s="6" t="str">
        <f>IF(AND(Delivered_data[[#This Row],[order_time]]&gt;=TIME(19,0,0),Delivered_data[[#This Row],[order_time]]&lt;=TIME(22,59,59)),"Peak","Non-Peak")</f>
        <v>Non-Peak</v>
      </c>
      <c r="I186" s="3">
        <v>6</v>
      </c>
      <c r="J186" s="3">
        <v>560.92999999999995</v>
      </c>
      <c r="K186" s="3">
        <v>3.09</v>
      </c>
      <c r="L186" s="3">
        <v>0.99</v>
      </c>
      <c r="M186" s="3">
        <v>1.38</v>
      </c>
      <c r="N186" s="3">
        <v>0.9</v>
      </c>
      <c r="O186" s="3">
        <v>7.34</v>
      </c>
      <c r="P186" s="3">
        <v>13.7</v>
      </c>
      <c r="Q186" s="3">
        <v>3.3</v>
      </c>
      <c r="R186" s="3" t="s">
        <v>226</v>
      </c>
      <c r="S186" s="3" t="s">
        <v>21</v>
      </c>
      <c r="T186" s="3">
        <v>4.8</v>
      </c>
    </row>
    <row r="187" spans="1:20" x14ac:dyDescent="0.35">
      <c r="A187" s="4" t="s">
        <v>296</v>
      </c>
      <c r="B187" s="7">
        <v>46243</v>
      </c>
      <c r="C187" s="7">
        <f>Delivered_data[[#This Row],[order_date]]-WEEKDAY(Delivered_data[[#This Row],[order_date]],2)+1</f>
        <v>46237</v>
      </c>
      <c r="D187" s="4" t="s">
        <v>23</v>
      </c>
      <c r="E187" s="4" t="s">
        <v>50</v>
      </c>
      <c r="F187" s="20">
        <f>_xlfn.XLOOKUP(Delivered_data[[#This Row],[store_id]],blinkit_stores!A:A,blinkit_stores!F:F,"not found")</f>
        <v>0.33333333333333331</v>
      </c>
      <c r="G187" s="8">
        <v>0.35486111111111113</v>
      </c>
      <c r="H187" s="8" t="str">
        <f>IF(AND(Delivered_data[[#This Row],[order_time]]&gt;=TIME(19,0,0),Delivered_data[[#This Row],[order_time]]&lt;=TIME(22,59,59)),"Peak","Non-Peak")</f>
        <v>Non-Peak</v>
      </c>
      <c r="I187" s="4">
        <v>6</v>
      </c>
      <c r="J187" s="4">
        <v>530.32000000000005</v>
      </c>
      <c r="K187" s="4">
        <v>3.03</v>
      </c>
      <c r="L187" s="4">
        <v>1.04</v>
      </c>
      <c r="M187" s="4">
        <v>0.98</v>
      </c>
      <c r="N187" s="4">
        <v>0.78</v>
      </c>
      <c r="O187" s="4">
        <v>5.68</v>
      </c>
      <c r="P187" s="4">
        <v>11.51</v>
      </c>
      <c r="Q187" s="4">
        <v>1.55</v>
      </c>
      <c r="R187" s="4" t="s">
        <v>274</v>
      </c>
      <c r="S187" s="4" t="s">
        <v>21</v>
      </c>
      <c r="T187" s="4">
        <v>4.4000000000000004</v>
      </c>
    </row>
    <row r="188" spans="1:20" x14ac:dyDescent="0.35">
      <c r="A188" s="3" t="s">
        <v>297</v>
      </c>
      <c r="B188" s="5">
        <v>46217</v>
      </c>
      <c r="C188" s="5">
        <f>Delivered_data[[#This Row],[order_date]]-WEEKDAY(Delivered_data[[#This Row],[order_date]],2)+1</f>
        <v>46216</v>
      </c>
      <c r="D188" s="3" t="s">
        <v>23</v>
      </c>
      <c r="E188" s="3" t="s">
        <v>50</v>
      </c>
      <c r="F188" s="19">
        <f>_xlfn.XLOOKUP(Delivered_data[[#This Row],[store_id]],blinkit_stores!A:A,blinkit_stores!F:F,"not found")</f>
        <v>0.33333333333333331</v>
      </c>
      <c r="G188" s="6">
        <v>0.27708333333333335</v>
      </c>
      <c r="H188" s="6" t="str">
        <f>IF(AND(Delivered_data[[#This Row],[order_time]]&gt;=TIME(19,0,0),Delivered_data[[#This Row],[order_time]]&lt;=TIME(22,59,59)),"Peak","Non-Peak")</f>
        <v>Non-Peak</v>
      </c>
      <c r="I188" s="3">
        <v>4</v>
      </c>
      <c r="J188" s="3">
        <v>737.17</v>
      </c>
      <c r="K188" s="3">
        <v>3.24</v>
      </c>
      <c r="L188" s="3">
        <v>1.06</v>
      </c>
      <c r="M188" s="3">
        <v>0.3</v>
      </c>
      <c r="N188" s="3">
        <v>0.56000000000000005</v>
      </c>
      <c r="O188" s="3">
        <v>6.11</v>
      </c>
      <c r="P188" s="3">
        <v>11.27</v>
      </c>
      <c r="Q188" s="3">
        <v>1.99</v>
      </c>
      <c r="R188" s="3" t="s">
        <v>202</v>
      </c>
      <c r="S188" s="3" t="s">
        <v>21</v>
      </c>
      <c r="T188" s="3">
        <v>5</v>
      </c>
    </row>
    <row r="189" spans="1:20" x14ac:dyDescent="0.35">
      <c r="A189" s="4" t="s">
        <v>298</v>
      </c>
      <c r="B189" s="7">
        <v>46225</v>
      </c>
      <c r="C189" s="7">
        <f>Delivered_data[[#This Row],[order_date]]-WEEKDAY(Delivered_data[[#This Row],[order_date]],2)+1</f>
        <v>46223</v>
      </c>
      <c r="D189" s="4" t="s">
        <v>23</v>
      </c>
      <c r="E189" s="4" t="s">
        <v>50</v>
      </c>
      <c r="F189" s="20">
        <f>_xlfn.XLOOKUP(Delivered_data[[#This Row],[store_id]],blinkit_stores!A:A,blinkit_stores!F:F,"not found")</f>
        <v>0.33333333333333331</v>
      </c>
      <c r="G189" s="8">
        <v>0.45347222222222222</v>
      </c>
      <c r="H189" s="8" t="str">
        <f>IF(AND(Delivered_data[[#This Row],[order_time]]&gt;=TIME(19,0,0),Delivered_data[[#This Row],[order_time]]&lt;=TIME(22,59,59)),"Peak","Non-Peak")</f>
        <v>Non-Peak</v>
      </c>
      <c r="I189" s="4">
        <v>6</v>
      </c>
      <c r="J189" s="4">
        <v>318.82</v>
      </c>
      <c r="K189" s="4">
        <v>3.32</v>
      </c>
      <c r="L189" s="4">
        <v>0.88</v>
      </c>
      <c r="M189" s="4">
        <v>0.73</v>
      </c>
      <c r="N189" s="4">
        <v>0.75</v>
      </c>
      <c r="O189" s="4">
        <v>7.68</v>
      </c>
      <c r="P189" s="4">
        <v>13.36</v>
      </c>
      <c r="Q189" s="4">
        <v>3.26</v>
      </c>
      <c r="R189" s="4" t="s">
        <v>114</v>
      </c>
      <c r="S189" s="4" t="s">
        <v>21</v>
      </c>
      <c r="T189" s="4">
        <v>4.3</v>
      </c>
    </row>
    <row r="190" spans="1:20" x14ac:dyDescent="0.35">
      <c r="A190" s="3" t="s">
        <v>301</v>
      </c>
      <c r="B190" s="5">
        <v>46240</v>
      </c>
      <c r="C190" s="5">
        <f>Delivered_data[[#This Row],[order_date]]-WEEKDAY(Delivered_data[[#This Row],[order_date]],2)+1</f>
        <v>46237</v>
      </c>
      <c r="D190" s="3" t="s">
        <v>23</v>
      </c>
      <c r="E190" s="3" t="s">
        <v>24</v>
      </c>
      <c r="F190" s="19">
        <f>_xlfn.XLOOKUP(Delivered_data[[#This Row],[store_id]],blinkit_stores!A:A,blinkit_stores!F:F,"not found")</f>
        <v>0.8571428571428571</v>
      </c>
      <c r="G190" s="6">
        <v>0.3263888888888889</v>
      </c>
      <c r="H190" s="6" t="str">
        <f>IF(AND(Delivered_data[[#This Row],[order_time]]&gt;=TIME(19,0,0),Delivered_data[[#This Row],[order_time]]&lt;=TIME(22,59,59)),"Peak","Non-Peak")</f>
        <v>Non-Peak</v>
      </c>
      <c r="I190" s="3">
        <v>8</v>
      </c>
      <c r="J190" s="3">
        <v>737.08</v>
      </c>
      <c r="K190" s="3">
        <v>3.8</v>
      </c>
      <c r="L190" s="3">
        <v>1.21</v>
      </c>
      <c r="M190" s="3">
        <v>0.77</v>
      </c>
      <c r="N190" s="3">
        <v>1.04</v>
      </c>
      <c r="O190" s="3">
        <v>4.9800000000000004</v>
      </c>
      <c r="P190" s="3">
        <v>11.8</v>
      </c>
      <c r="Q190" s="3">
        <v>1.72</v>
      </c>
      <c r="R190" s="3" t="s">
        <v>108</v>
      </c>
      <c r="S190" s="3" t="s">
        <v>21</v>
      </c>
      <c r="T190" s="3">
        <v>4.7</v>
      </c>
    </row>
    <row r="191" spans="1:20" x14ac:dyDescent="0.35">
      <c r="A191" s="4" t="s">
        <v>302</v>
      </c>
      <c r="B191" s="7">
        <v>46236</v>
      </c>
      <c r="C191" s="7">
        <f>Delivered_data[[#This Row],[order_date]]-WEEKDAY(Delivered_data[[#This Row],[order_date]],2)+1</f>
        <v>46230</v>
      </c>
      <c r="D191" s="4" t="s">
        <v>23</v>
      </c>
      <c r="E191" s="4" t="s">
        <v>50</v>
      </c>
      <c r="F191" s="20">
        <f>_xlfn.XLOOKUP(Delivered_data[[#This Row],[store_id]],blinkit_stores!A:A,blinkit_stores!F:F,"not found")</f>
        <v>0.33333333333333331</v>
      </c>
      <c r="G191" s="8">
        <v>0.80972222222222223</v>
      </c>
      <c r="H191" s="8" t="str">
        <f>IF(AND(Delivered_data[[#This Row],[order_time]]&gt;=TIME(19,0,0),Delivered_data[[#This Row],[order_time]]&lt;=TIME(22,59,59)),"Peak","Non-Peak")</f>
        <v>Peak</v>
      </c>
      <c r="I191" s="4">
        <v>4</v>
      </c>
      <c r="J191" s="4">
        <v>478.75</v>
      </c>
      <c r="K191" s="4">
        <v>2.56</v>
      </c>
      <c r="L191" s="4">
        <v>0.88</v>
      </c>
      <c r="M191" s="4">
        <v>1.55</v>
      </c>
      <c r="N191" s="4">
        <v>1.18</v>
      </c>
      <c r="O191" s="4">
        <v>8</v>
      </c>
      <c r="P191" s="4">
        <v>14.17</v>
      </c>
      <c r="Q191" s="4">
        <v>2.89</v>
      </c>
      <c r="R191" s="4" t="s">
        <v>38</v>
      </c>
      <c r="S191" s="4" t="s">
        <v>21</v>
      </c>
      <c r="T191" s="4">
        <v>5</v>
      </c>
    </row>
    <row r="192" spans="1:20" x14ac:dyDescent="0.35">
      <c r="A192" s="3" t="s">
        <v>303</v>
      </c>
      <c r="B192" s="5">
        <v>46221</v>
      </c>
      <c r="C192" s="5">
        <f>Delivered_data[[#This Row],[order_date]]-WEEKDAY(Delivered_data[[#This Row],[order_date]],2)+1</f>
        <v>46216</v>
      </c>
      <c r="D192" s="3" t="s">
        <v>23</v>
      </c>
      <c r="E192" s="3" t="s">
        <v>24</v>
      </c>
      <c r="F192" s="19">
        <f>_xlfn.XLOOKUP(Delivered_data[[#This Row],[store_id]],blinkit_stores!A:A,blinkit_stores!F:F,"not found")</f>
        <v>0.8571428571428571</v>
      </c>
      <c r="G192" s="6">
        <v>0.77430555555555558</v>
      </c>
      <c r="H192" s="6" t="str">
        <f>IF(AND(Delivered_data[[#This Row],[order_time]]&gt;=TIME(19,0,0),Delivered_data[[#This Row],[order_time]]&lt;=TIME(22,59,59)),"Peak","Non-Peak")</f>
        <v>Non-Peak</v>
      </c>
      <c r="I192" s="3">
        <v>8</v>
      </c>
      <c r="J192" s="3">
        <v>120</v>
      </c>
      <c r="K192" s="3">
        <v>3.97</v>
      </c>
      <c r="L192" s="3">
        <v>1.21</v>
      </c>
      <c r="M192" s="3">
        <v>0.87</v>
      </c>
      <c r="N192" s="3">
        <v>0.56999999999999995</v>
      </c>
      <c r="O192" s="3">
        <v>5.48</v>
      </c>
      <c r="P192" s="3">
        <v>12.1</v>
      </c>
      <c r="Q192" s="3">
        <v>1.21</v>
      </c>
      <c r="R192" s="3" t="s">
        <v>44</v>
      </c>
      <c r="S192" s="3" t="s">
        <v>21</v>
      </c>
      <c r="T192" s="3">
        <v>3.9</v>
      </c>
    </row>
    <row r="193" spans="1:20" x14ac:dyDescent="0.35">
      <c r="A193" s="4" t="s">
        <v>304</v>
      </c>
      <c r="B193" s="7">
        <v>46243</v>
      </c>
      <c r="C193" s="7">
        <f>Delivered_data[[#This Row],[order_date]]-WEEKDAY(Delivered_data[[#This Row],[order_date]],2)+1</f>
        <v>46237</v>
      </c>
      <c r="D193" s="4" t="s">
        <v>46</v>
      </c>
      <c r="E193" s="4" t="s">
        <v>47</v>
      </c>
      <c r="F193" s="20">
        <f>_xlfn.XLOOKUP(Delivered_data[[#This Row],[store_id]],blinkit_stores!A:A,blinkit_stores!F:F,"not found")</f>
        <v>1.5</v>
      </c>
      <c r="G193" s="8">
        <v>0.95625000000000004</v>
      </c>
      <c r="H193" s="8" t="str">
        <f>IF(AND(Delivered_data[[#This Row],[order_time]]&gt;=TIME(19,0,0),Delivered_data[[#This Row],[order_time]]&lt;=TIME(22,59,59)),"Peak","Non-Peak")</f>
        <v>Peak</v>
      </c>
      <c r="I193" s="4">
        <v>5</v>
      </c>
      <c r="J193" s="4">
        <v>390.59</v>
      </c>
      <c r="K193" s="4">
        <v>3.03</v>
      </c>
      <c r="L193" s="4">
        <v>0.98</v>
      </c>
      <c r="M193" s="4">
        <v>1.99</v>
      </c>
      <c r="N193" s="4">
        <v>1.41</v>
      </c>
      <c r="O193" s="4">
        <v>8.3800000000000008</v>
      </c>
      <c r="P193" s="4">
        <v>15.79</v>
      </c>
      <c r="Q193" s="4">
        <v>3.06</v>
      </c>
      <c r="R193" s="4" t="s">
        <v>174</v>
      </c>
      <c r="S193" s="4" t="s">
        <v>21</v>
      </c>
      <c r="T193" s="4">
        <v>3.8</v>
      </c>
    </row>
    <row r="194" spans="1:20" x14ac:dyDescent="0.35">
      <c r="A194" s="3" t="s">
        <v>305</v>
      </c>
      <c r="B194" s="5">
        <v>46243</v>
      </c>
      <c r="C194" s="5">
        <f>Delivered_data[[#This Row],[order_date]]-WEEKDAY(Delivered_data[[#This Row],[order_date]],2)+1</f>
        <v>46237</v>
      </c>
      <c r="D194" s="3" t="s">
        <v>23</v>
      </c>
      <c r="E194" s="3" t="s">
        <v>35</v>
      </c>
      <c r="F194" s="19">
        <f>_xlfn.XLOOKUP(Delivered_data[[#This Row],[store_id]],blinkit_stores!A:A,blinkit_stores!F:F,"not found")</f>
        <v>0.5</v>
      </c>
      <c r="G194" s="6">
        <v>0.57847222222222228</v>
      </c>
      <c r="H194" s="6" t="str">
        <f>IF(AND(Delivered_data[[#This Row],[order_time]]&gt;=TIME(19,0,0),Delivered_data[[#This Row],[order_time]]&lt;=TIME(22,59,59)),"Peak","Non-Peak")</f>
        <v>Non-Peak</v>
      </c>
      <c r="I194" s="3">
        <v>3</v>
      </c>
      <c r="J194" s="3">
        <v>733.46</v>
      </c>
      <c r="K194" s="3">
        <v>2.42</v>
      </c>
      <c r="L194" s="3">
        <v>0.76</v>
      </c>
      <c r="M194" s="3">
        <v>1.47</v>
      </c>
      <c r="N194" s="3">
        <v>0.98</v>
      </c>
      <c r="O194" s="3">
        <v>6.28</v>
      </c>
      <c r="P194" s="3">
        <v>11.91</v>
      </c>
      <c r="Q194" s="3">
        <v>2.57</v>
      </c>
      <c r="R194" s="3" t="s">
        <v>103</v>
      </c>
      <c r="S194" s="3" t="s">
        <v>21</v>
      </c>
      <c r="T194" s="3">
        <v>5</v>
      </c>
    </row>
    <row r="195" spans="1:20" x14ac:dyDescent="0.35">
      <c r="A195" s="4" t="s">
        <v>306</v>
      </c>
      <c r="B195" s="7">
        <v>46227</v>
      </c>
      <c r="C195" s="7">
        <f>Delivered_data[[#This Row],[order_date]]-WEEKDAY(Delivered_data[[#This Row],[order_date]],2)+1</f>
        <v>46223</v>
      </c>
      <c r="D195" s="4" t="s">
        <v>18</v>
      </c>
      <c r="E195" s="4" t="s">
        <v>31</v>
      </c>
      <c r="F195" s="20">
        <f>_xlfn.XLOOKUP(Delivered_data[[#This Row],[store_id]],blinkit_stores!A:A,blinkit_stores!F:F,"not found")</f>
        <v>0.7142857142857143</v>
      </c>
      <c r="G195" s="8">
        <v>0.50416666666666665</v>
      </c>
      <c r="H195" s="8" t="str">
        <f>IF(AND(Delivered_data[[#This Row],[order_time]]&gt;=TIME(19,0,0),Delivered_data[[#This Row],[order_time]]&lt;=TIME(22,59,59)),"Peak","Non-Peak")</f>
        <v>Non-Peak</v>
      </c>
      <c r="I195" s="4">
        <v>6</v>
      </c>
      <c r="J195" s="4">
        <v>495.88</v>
      </c>
      <c r="K195" s="4">
        <v>3.28</v>
      </c>
      <c r="L195" s="4">
        <v>1.21</v>
      </c>
      <c r="M195" s="4">
        <v>0.95</v>
      </c>
      <c r="N195" s="4">
        <v>0.52</v>
      </c>
      <c r="O195" s="4">
        <v>5.87</v>
      </c>
      <c r="P195" s="4">
        <v>11.83</v>
      </c>
      <c r="Q195" s="4">
        <v>1.92</v>
      </c>
      <c r="R195" s="4" t="s">
        <v>150</v>
      </c>
      <c r="S195" s="4" t="s">
        <v>21</v>
      </c>
      <c r="T195" s="4">
        <v>5</v>
      </c>
    </row>
    <row r="196" spans="1:20" x14ac:dyDescent="0.35">
      <c r="A196" s="3" t="s">
        <v>307</v>
      </c>
      <c r="B196" s="5">
        <v>46227</v>
      </c>
      <c r="C196" s="5">
        <f>Delivered_data[[#This Row],[order_date]]-WEEKDAY(Delivered_data[[#This Row],[order_date]],2)+1</f>
        <v>46223</v>
      </c>
      <c r="D196" s="3" t="s">
        <v>46</v>
      </c>
      <c r="E196" s="3" t="s">
        <v>58</v>
      </c>
      <c r="F196" s="19">
        <f>_xlfn.XLOOKUP(Delivered_data[[#This Row],[store_id]],blinkit_stores!A:A,blinkit_stores!F:F,"not found")</f>
        <v>0.7142857142857143</v>
      </c>
      <c r="G196" s="6">
        <v>0.59236111111111112</v>
      </c>
      <c r="H196" s="6" t="str">
        <f>IF(AND(Delivered_data[[#This Row],[order_time]]&gt;=TIME(19,0,0),Delivered_data[[#This Row],[order_time]]&lt;=TIME(22,59,59)),"Peak","Non-Peak")</f>
        <v>Non-Peak</v>
      </c>
      <c r="I196" s="3">
        <v>4</v>
      </c>
      <c r="J196" s="3">
        <v>320.13</v>
      </c>
      <c r="K196" s="3">
        <v>2.13</v>
      </c>
      <c r="L196" s="3">
        <v>0.68</v>
      </c>
      <c r="M196" s="3">
        <v>0.79</v>
      </c>
      <c r="N196" s="3">
        <v>0.92</v>
      </c>
      <c r="O196" s="3">
        <v>4.24</v>
      </c>
      <c r="P196" s="3">
        <v>8.76</v>
      </c>
      <c r="Q196" s="3">
        <v>1.45</v>
      </c>
      <c r="R196" s="3" t="s">
        <v>137</v>
      </c>
      <c r="S196" s="3" t="s">
        <v>21</v>
      </c>
      <c r="T196" s="3">
        <v>5</v>
      </c>
    </row>
    <row r="197" spans="1:20" x14ac:dyDescent="0.35">
      <c r="A197" s="4" t="s">
        <v>308</v>
      </c>
      <c r="B197" s="7">
        <v>46235</v>
      </c>
      <c r="C197" s="7">
        <f>Delivered_data[[#This Row],[order_date]]-WEEKDAY(Delivered_data[[#This Row],[order_date]],2)+1</f>
        <v>46230</v>
      </c>
      <c r="D197" s="4" t="s">
        <v>23</v>
      </c>
      <c r="E197" s="4" t="s">
        <v>24</v>
      </c>
      <c r="F197" s="20">
        <f>_xlfn.XLOOKUP(Delivered_data[[#This Row],[store_id]],blinkit_stores!A:A,blinkit_stores!F:F,"not found")</f>
        <v>0.8571428571428571</v>
      </c>
      <c r="G197" s="8">
        <v>3.4722222222222224E-2</v>
      </c>
      <c r="H197" s="8" t="str">
        <f>IF(AND(Delivered_data[[#This Row],[order_time]]&gt;=TIME(19,0,0),Delivered_data[[#This Row],[order_time]]&lt;=TIME(22,59,59)),"Peak","Non-Peak")</f>
        <v>Non-Peak</v>
      </c>
      <c r="I197" s="4">
        <v>4</v>
      </c>
      <c r="J197" s="4">
        <v>409.14</v>
      </c>
      <c r="K197" s="4">
        <v>2.29</v>
      </c>
      <c r="L197" s="4">
        <v>0.77</v>
      </c>
      <c r="M197" s="4">
        <v>0.67</v>
      </c>
      <c r="N197" s="4">
        <v>0.92</v>
      </c>
      <c r="O197" s="4">
        <v>5.18</v>
      </c>
      <c r="P197" s="4">
        <v>9.83</v>
      </c>
      <c r="Q197" s="4">
        <v>1.4</v>
      </c>
      <c r="R197" s="4" t="s">
        <v>69</v>
      </c>
      <c r="S197" s="4" t="s">
        <v>21</v>
      </c>
      <c r="T197" s="4">
        <v>4.5</v>
      </c>
    </row>
    <row r="198" spans="1:20" x14ac:dyDescent="0.35">
      <c r="A198" s="3" t="s">
        <v>309</v>
      </c>
      <c r="B198" s="5">
        <v>46226</v>
      </c>
      <c r="C198" s="5">
        <f>Delivered_data[[#This Row],[order_date]]-WEEKDAY(Delivered_data[[#This Row],[order_date]],2)+1</f>
        <v>46223</v>
      </c>
      <c r="D198" s="3" t="s">
        <v>46</v>
      </c>
      <c r="E198" s="3" t="s">
        <v>47</v>
      </c>
      <c r="F198" s="19">
        <f>_xlfn.XLOOKUP(Delivered_data[[#This Row],[store_id]],blinkit_stores!A:A,blinkit_stores!F:F,"not found")</f>
        <v>1.5</v>
      </c>
      <c r="G198" s="6">
        <v>0.39861111111111114</v>
      </c>
      <c r="H198" s="6" t="str">
        <f>IF(AND(Delivered_data[[#This Row],[order_time]]&gt;=TIME(19,0,0),Delivered_data[[#This Row],[order_time]]&lt;=TIME(22,59,59)),"Peak","Non-Peak")</f>
        <v>Non-Peak</v>
      </c>
      <c r="I198" s="3">
        <v>4</v>
      </c>
      <c r="J198" s="3">
        <v>651.30999999999995</v>
      </c>
      <c r="K198" s="3">
        <v>2.2599999999999998</v>
      </c>
      <c r="L198" s="3">
        <v>0.86</v>
      </c>
      <c r="M198" s="3">
        <v>1.18</v>
      </c>
      <c r="N198" s="3">
        <v>0.59</v>
      </c>
      <c r="O198" s="3">
        <v>7.1</v>
      </c>
      <c r="P198" s="3">
        <v>11.99</v>
      </c>
      <c r="Q198" s="3">
        <v>2.68</v>
      </c>
      <c r="R198" s="3" t="s">
        <v>145</v>
      </c>
      <c r="S198" s="3" t="s">
        <v>21</v>
      </c>
      <c r="T198" s="3">
        <v>5</v>
      </c>
    </row>
    <row r="199" spans="1:20" x14ac:dyDescent="0.35">
      <c r="A199" s="4" t="s">
        <v>310</v>
      </c>
      <c r="B199" s="7">
        <v>46241</v>
      </c>
      <c r="C199" s="7">
        <f>Delivered_data[[#This Row],[order_date]]-WEEKDAY(Delivered_data[[#This Row],[order_date]],2)+1</f>
        <v>46237</v>
      </c>
      <c r="D199" s="4" t="s">
        <v>18</v>
      </c>
      <c r="E199" s="4" t="s">
        <v>31</v>
      </c>
      <c r="F199" s="20">
        <f>_xlfn.XLOOKUP(Delivered_data[[#This Row],[store_id]],blinkit_stores!A:A,blinkit_stores!F:F,"not found")</f>
        <v>0.7142857142857143</v>
      </c>
      <c r="G199" s="8">
        <v>0.84236111111111112</v>
      </c>
      <c r="H199" s="8" t="str">
        <f>IF(AND(Delivered_data[[#This Row],[order_time]]&gt;=TIME(19,0,0),Delivered_data[[#This Row],[order_time]]&lt;=TIME(22,59,59)),"Peak","Non-Peak")</f>
        <v>Peak</v>
      </c>
      <c r="I199" s="4">
        <v>5</v>
      </c>
      <c r="J199" s="4">
        <v>598.41</v>
      </c>
      <c r="K199" s="4">
        <v>2.95</v>
      </c>
      <c r="L199" s="4">
        <v>0.75</v>
      </c>
      <c r="M199" s="4">
        <v>2.72</v>
      </c>
      <c r="N199" s="4">
        <v>1.07</v>
      </c>
      <c r="O199" s="4">
        <v>7.54</v>
      </c>
      <c r="P199" s="4">
        <v>15.03</v>
      </c>
      <c r="Q199" s="4">
        <v>3.56</v>
      </c>
      <c r="R199" s="4" t="s">
        <v>29</v>
      </c>
      <c r="S199" s="4" t="s">
        <v>21</v>
      </c>
      <c r="T199" s="4">
        <v>5</v>
      </c>
    </row>
    <row r="200" spans="1:20" x14ac:dyDescent="0.35">
      <c r="A200" s="3" t="s">
        <v>311</v>
      </c>
      <c r="B200" s="5">
        <v>46238</v>
      </c>
      <c r="C200" s="5">
        <f>Delivered_data[[#This Row],[order_date]]-WEEKDAY(Delivered_data[[#This Row],[order_date]],2)+1</f>
        <v>46237</v>
      </c>
      <c r="D200" s="3" t="s">
        <v>23</v>
      </c>
      <c r="E200" s="3" t="s">
        <v>35</v>
      </c>
      <c r="F200" s="19">
        <f>_xlfn.XLOOKUP(Delivered_data[[#This Row],[store_id]],blinkit_stores!A:A,blinkit_stores!F:F,"not found")</f>
        <v>0.5</v>
      </c>
      <c r="G200" s="6">
        <v>0.79722222222222228</v>
      </c>
      <c r="H200" s="6" t="str">
        <f>IF(AND(Delivered_data[[#This Row],[order_time]]&gt;=TIME(19,0,0),Delivered_data[[#This Row],[order_time]]&lt;=TIME(22,59,59)),"Peak","Non-Peak")</f>
        <v>Peak</v>
      </c>
      <c r="I200" s="3">
        <v>2</v>
      </c>
      <c r="J200" s="3">
        <v>456.99</v>
      </c>
      <c r="K200" s="3">
        <v>2.85</v>
      </c>
      <c r="L200" s="3">
        <v>0.69</v>
      </c>
      <c r="M200" s="3">
        <v>1.71</v>
      </c>
      <c r="N200" s="3">
        <v>1.21</v>
      </c>
      <c r="O200" s="3">
        <v>5.33</v>
      </c>
      <c r="P200" s="3">
        <v>11.79</v>
      </c>
      <c r="Q200" s="3">
        <v>1.88</v>
      </c>
      <c r="R200" s="3" t="s">
        <v>229</v>
      </c>
      <c r="S200" s="3" t="s">
        <v>21</v>
      </c>
      <c r="T200" s="3">
        <v>5</v>
      </c>
    </row>
    <row r="201" spans="1:20" x14ac:dyDescent="0.35">
      <c r="A201" s="4" t="s">
        <v>312</v>
      </c>
      <c r="B201" s="7">
        <v>46243</v>
      </c>
      <c r="C201" s="7">
        <f>Delivered_data[[#This Row],[order_date]]-WEEKDAY(Delivered_data[[#This Row],[order_date]],2)+1</f>
        <v>46237</v>
      </c>
      <c r="D201" s="4" t="s">
        <v>23</v>
      </c>
      <c r="E201" s="4" t="s">
        <v>35</v>
      </c>
      <c r="F201" s="20">
        <f>_xlfn.XLOOKUP(Delivered_data[[#This Row],[store_id]],blinkit_stores!A:A,blinkit_stores!F:F,"not found")</f>
        <v>0.5</v>
      </c>
      <c r="G201" s="8">
        <v>0.10347222222222222</v>
      </c>
      <c r="H201" s="8" t="str">
        <f>IF(AND(Delivered_data[[#This Row],[order_time]]&gt;=TIME(19,0,0),Delivered_data[[#This Row],[order_time]]&lt;=TIME(22,59,59)),"Peak","Non-Peak")</f>
        <v>Non-Peak</v>
      </c>
      <c r="I201" s="4">
        <v>4</v>
      </c>
      <c r="J201" s="4">
        <v>433.97</v>
      </c>
      <c r="K201" s="4">
        <v>3.46</v>
      </c>
      <c r="L201" s="4">
        <v>1.07</v>
      </c>
      <c r="M201" s="4">
        <v>1.1299999999999999</v>
      </c>
      <c r="N201" s="4">
        <v>0.99</v>
      </c>
      <c r="O201" s="4">
        <v>6.59</v>
      </c>
      <c r="P201" s="4">
        <v>13.24</v>
      </c>
      <c r="Q201" s="4">
        <v>2.61</v>
      </c>
      <c r="R201" s="4" t="s">
        <v>184</v>
      </c>
      <c r="S201" s="4" t="s">
        <v>21</v>
      </c>
      <c r="T201" s="4">
        <v>4.2</v>
      </c>
    </row>
    <row r="202" spans="1:20" x14ac:dyDescent="0.35">
      <c r="A202" s="3" t="s">
        <v>313</v>
      </c>
      <c r="B202" s="5">
        <v>46240</v>
      </c>
      <c r="C202" s="5">
        <f>Delivered_data[[#This Row],[order_date]]-WEEKDAY(Delivered_data[[#This Row],[order_date]],2)+1</f>
        <v>46237</v>
      </c>
      <c r="D202" s="3" t="s">
        <v>18</v>
      </c>
      <c r="E202" s="3" t="s">
        <v>42</v>
      </c>
      <c r="F202" s="19">
        <f>_xlfn.XLOOKUP(Delivered_data[[#This Row],[store_id]],blinkit_stores!A:A,blinkit_stores!F:F,"not found")</f>
        <v>0.625</v>
      </c>
      <c r="G202" s="6">
        <v>0.21736111111111112</v>
      </c>
      <c r="H202" s="6" t="str">
        <f>IF(AND(Delivered_data[[#This Row],[order_time]]&gt;=TIME(19,0,0),Delivered_data[[#This Row],[order_time]]&lt;=TIME(22,59,59)),"Peak","Non-Peak")</f>
        <v>Non-Peak</v>
      </c>
      <c r="I202" s="3">
        <v>8</v>
      </c>
      <c r="J202" s="3">
        <v>429.48</v>
      </c>
      <c r="K202" s="3">
        <v>3.78</v>
      </c>
      <c r="L202" s="3">
        <v>1.19</v>
      </c>
      <c r="M202" s="3">
        <v>0.59</v>
      </c>
      <c r="N202" s="3">
        <v>0.95</v>
      </c>
      <c r="O202" s="3">
        <v>3.15</v>
      </c>
      <c r="P202" s="3">
        <v>9.66</v>
      </c>
      <c r="Q202" s="3">
        <v>0.4</v>
      </c>
      <c r="R202" s="3" t="s">
        <v>116</v>
      </c>
      <c r="S202" s="3" t="s">
        <v>21</v>
      </c>
      <c r="T202" s="3">
        <v>5</v>
      </c>
    </row>
    <row r="203" spans="1:20" x14ac:dyDescent="0.35">
      <c r="A203" s="4" t="s">
        <v>314</v>
      </c>
      <c r="B203" s="7">
        <v>46222</v>
      </c>
      <c r="C203" s="7">
        <f>Delivered_data[[#This Row],[order_date]]-WEEKDAY(Delivered_data[[#This Row],[order_date]],2)+1</f>
        <v>46216</v>
      </c>
      <c r="D203" s="4" t="s">
        <v>18</v>
      </c>
      <c r="E203" s="4" t="s">
        <v>19</v>
      </c>
      <c r="F203" s="20">
        <f>_xlfn.XLOOKUP(Delivered_data[[#This Row],[store_id]],blinkit_stores!A:A,blinkit_stores!F:F,"not found")</f>
        <v>0.375</v>
      </c>
      <c r="G203" s="8">
        <v>0.39513888888888887</v>
      </c>
      <c r="H203" s="8" t="str">
        <f>IF(AND(Delivered_data[[#This Row],[order_time]]&gt;=TIME(19,0,0),Delivered_data[[#This Row],[order_time]]&lt;=TIME(22,59,59)),"Peak","Non-Peak")</f>
        <v>Non-Peak</v>
      </c>
      <c r="I203" s="4">
        <v>4</v>
      </c>
      <c r="J203" s="4">
        <v>333.97</v>
      </c>
      <c r="K203" s="4">
        <v>2.86</v>
      </c>
      <c r="L203" s="4">
        <v>0.9</v>
      </c>
      <c r="M203" s="4">
        <v>0.52</v>
      </c>
      <c r="N203" s="4">
        <v>0.61</v>
      </c>
      <c r="O203" s="4">
        <v>4.62</v>
      </c>
      <c r="P203" s="4">
        <v>9.51</v>
      </c>
      <c r="Q203" s="4">
        <v>1.67</v>
      </c>
      <c r="R203" s="4" t="s">
        <v>33</v>
      </c>
      <c r="S203" s="4" t="s">
        <v>21</v>
      </c>
      <c r="T203" s="4">
        <v>5</v>
      </c>
    </row>
    <row r="204" spans="1:20" x14ac:dyDescent="0.35">
      <c r="A204" s="3" t="s">
        <v>315</v>
      </c>
      <c r="B204" s="5">
        <v>46216</v>
      </c>
      <c r="C204" s="5">
        <f>Delivered_data[[#This Row],[order_date]]-WEEKDAY(Delivered_data[[#This Row],[order_date]],2)+1</f>
        <v>46216</v>
      </c>
      <c r="D204" s="3" t="s">
        <v>46</v>
      </c>
      <c r="E204" s="3" t="s">
        <v>58</v>
      </c>
      <c r="F204" s="19">
        <f>_xlfn.XLOOKUP(Delivered_data[[#This Row],[store_id]],blinkit_stores!A:A,blinkit_stores!F:F,"not found")</f>
        <v>0.7142857142857143</v>
      </c>
      <c r="G204" s="6">
        <v>0.94791666666666663</v>
      </c>
      <c r="H204" s="6" t="str">
        <f>IF(AND(Delivered_data[[#This Row],[order_time]]&gt;=TIME(19,0,0),Delivered_data[[#This Row],[order_time]]&lt;=TIME(22,59,59)),"Peak","Non-Peak")</f>
        <v>Peak</v>
      </c>
      <c r="I204" s="3">
        <v>6</v>
      </c>
      <c r="J204" s="3">
        <v>790.77</v>
      </c>
      <c r="K204" s="3">
        <v>2.4900000000000002</v>
      </c>
      <c r="L204" s="3">
        <v>0.88</v>
      </c>
      <c r="M204" s="3">
        <v>1.62</v>
      </c>
      <c r="N204" s="3">
        <v>1.1100000000000001</v>
      </c>
      <c r="O204" s="3">
        <v>7.01</v>
      </c>
      <c r="P204" s="3">
        <v>13.11</v>
      </c>
      <c r="Q204" s="3">
        <v>2.42</v>
      </c>
      <c r="R204" s="3" t="s">
        <v>106</v>
      </c>
      <c r="S204" s="3" t="s">
        <v>21</v>
      </c>
      <c r="T204" s="3">
        <v>4.8</v>
      </c>
    </row>
    <row r="205" spans="1:20" x14ac:dyDescent="0.35">
      <c r="A205" s="4" t="s">
        <v>316</v>
      </c>
      <c r="B205" s="7">
        <v>46216</v>
      </c>
      <c r="C205" s="7">
        <f>Delivered_data[[#This Row],[order_date]]-WEEKDAY(Delivered_data[[#This Row],[order_date]],2)+1</f>
        <v>46216</v>
      </c>
      <c r="D205" s="4" t="s">
        <v>23</v>
      </c>
      <c r="E205" s="4" t="s">
        <v>35</v>
      </c>
      <c r="F205" s="20">
        <f>_xlfn.XLOOKUP(Delivered_data[[#This Row],[store_id]],blinkit_stores!A:A,blinkit_stores!F:F,"not found")</f>
        <v>0.5</v>
      </c>
      <c r="G205" s="8">
        <v>0.21111111111111111</v>
      </c>
      <c r="H205" s="8" t="str">
        <f>IF(AND(Delivered_data[[#This Row],[order_time]]&gt;=TIME(19,0,0),Delivered_data[[#This Row],[order_time]]&lt;=TIME(22,59,59)),"Peak","Non-Peak")</f>
        <v>Non-Peak</v>
      </c>
      <c r="I205" s="4">
        <v>3</v>
      </c>
      <c r="J205" s="4">
        <v>441.98</v>
      </c>
      <c r="K205" s="4">
        <v>2.27</v>
      </c>
      <c r="L205" s="4">
        <v>0.72</v>
      </c>
      <c r="M205" s="4">
        <v>0.59</v>
      </c>
      <c r="N205" s="4">
        <v>0.74</v>
      </c>
      <c r="O205" s="4">
        <v>4.9800000000000004</v>
      </c>
      <c r="P205" s="4">
        <v>9.3000000000000007</v>
      </c>
      <c r="Q205" s="4">
        <v>1.38</v>
      </c>
      <c r="R205" s="4" t="s">
        <v>150</v>
      </c>
      <c r="S205" s="4" t="s">
        <v>21</v>
      </c>
      <c r="T205" s="4">
        <v>5</v>
      </c>
    </row>
    <row r="206" spans="1:20" x14ac:dyDescent="0.35">
      <c r="A206" s="3" t="s">
        <v>317</v>
      </c>
      <c r="B206" s="5">
        <v>46240</v>
      </c>
      <c r="C206" s="5">
        <f>Delivered_data[[#This Row],[order_date]]-WEEKDAY(Delivered_data[[#This Row],[order_date]],2)+1</f>
        <v>46237</v>
      </c>
      <c r="D206" s="3" t="s">
        <v>18</v>
      </c>
      <c r="E206" s="3" t="s">
        <v>19</v>
      </c>
      <c r="F206" s="19">
        <f>_xlfn.XLOOKUP(Delivered_data[[#This Row],[store_id]],blinkit_stores!A:A,blinkit_stores!F:F,"not found")</f>
        <v>0.375</v>
      </c>
      <c r="G206" s="6">
        <v>0.47291666666666665</v>
      </c>
      <c r="H206" s="6" t="str">
        <f>IF(AND(Delivered_data[[#This Row],[order_time]]&gt;=TIME(19,0,0),Delivered_data[[#This Row],[order_time]]&lt;=TIME(22,59,59)),"Peak","Non-Peak")</f>
        <v>Non-Peak</v>
      </c>
      <c r="I206" s="3">
        <v>4</v>
      </c>
      <c r="J206" s="3">
        <v>719.09</v>
      </c>
      <c r="K206" s="3">
        <v>2.4</v>
      </c>
      <c r="L206" s="3">
        <v>0.82</v>
      </c>
      <c r="M206" s="3">
        <v>0.79</v>
      </c>
      <c r="N206" s="3">
        <v>0.94</v>
      </c>
      <c r="O206" s="3">
        <v>4.7</v>
      </c>
      <c r="P206" s="3">
        <v>9.65</v>
      </c>
      <c r="Q206" s="3">
        <v>1.36</v>
      </c>
      <c r="R206" s="3" t="s">
        <v>140</v>
      </c>
      <c r="S206" s="3" t="s">
        <v>21</v>
      </c>
      <c r="T206" s="3">
        <v>5</v>
      </c>
    </row>
    <row r="207" spans="1:20" x14ac:dyDescent="0.35">
      <c r="A207" s="4" t="s">
        <v>318</v>
      </c>
      <c r="B207" s="7">
        <v>46242</v>
      </c>
      <c r="C207" s="7">
        <f>Delivered_data[[#This Row],[order_date]]-WEEKDAY(Delivered_data[[#This Row],[order_date]],2)+1</f>
        <v>46237</v>
      </c>
      <c r="D207" s="4" t="s">
        <v>23</v>
      </c>
      <c r="E207" s="4" t="s">
        <v>50</v>
      </c>
      <c r="F207" s="20">
        <f>_xlfn.XLOOKUP(Delivered_data[[#This Row],[store_id]],blinkit_stores!A:A,blinkit_stores!F:F,"not found")</f>
        <v>0.33333333333333331</v>
      </c>
      <c r="G207" s="8">
        <v>0.58125000000000004</v>
      </c>
      <c r="H207" s="8" t="str">
        <f>IF(AND(Delivered_data[[#This Row],[order_time]]&gt;=TIME(19,0,0),Delivered_data[[#This Row],[order_time]]&lt;=TIME(22,59,59)),"Peak","Non-Peak")</f>
        <v>Non-Peak</v>
      </c>
      <c r="I207" s="4">
        <v>2</v>
      </c>
      <c r="J207" s="4">
        <v>773.84</v>
      </c>
      <c r="K207" s="4">
        <v>2.02</v>
      </c>
      <c r="L207" s="4">
        <v>0.67</v>
      </c>
      <c r="M207" s="4">
        <v>0.76</v>
      </c>
      <c r="N207" s="4">
        <v>1.08</v>
      </c>
      <c r="O207" s="4">
        <v>4.76</v>
      </c>
      <c r="P207" s="4">
        <v>9.2899999999999991</v>
      </c>
      <c r="Q207" s="4">
        <v>1.6</v>
      </c>
      <c r="R207" s="4" t="s">
        <v>114</v>
      </c>
      <c r="S207" s="4" t="s">
        <v>21</v>
      </c>
      <c r="T207" s="4">
        <v>4.5999999999999996</v>
      </c>
    </row>
    <row r="208" spans="1:20" x14ac:dyDescent="0.35">
      <c r="A208" s="3" t="s">
        <v>319</v>
      </c>
      <c r="B208" s="5">
        <v>46240</v>
      </c>
      <c r="C208" s="5">
        <f>Delivered_data[[#This Row],[order_date]]-WEEKDAY(Delivered_data[[#This Row],[order_date]],2)+1</f>
        <v>46237</v>
      </c>
      <c r="D208" s="3" t="s">
        <v>46</v>
      </c>
      <c r="E208" s="3" t="s">
        <v>47</v>
      </c>
      <c r="F208" s="19">
        <f>_xlfn.XLOOKUP(Delivered_data[[#This Row],[store_id]],blinkit_stores!A:A,blinkit_stores!F:F,"not found")</f>
        <v>1.5</v>
      </c>
      <c r="G208" s="6">
        <v>0.74791666666666667</v>
      </c>
      <c r="H208" s="6" t="str">
        <f>IF(AND(Delivered_data[[#This Row],[order_time]]&gt;=TIME(19,0,0),Delivered_data[[#This Row],[order_time]]&lt;=TIME(22,59,59)),"Peak","Non-Peak")</f>
        <v>Non-Peak</v>
      </c>
      <c r="I208" s="3">
        <v>6</v>
      </c>
      <c r="J208" s="3">
        <v>679.7</v>
      </c>
      <c r="K208" s="3">
        <v>3.06</v>
      </c>
      <c r="L208" s="3">
        <v>1.18</v>
      </c>
      <c r="M208" s="3">
        <v>1.18</v>
      </c>
      <c r="N208" s="3">
        <v>0.72</v>
      </c>
      <c r="O208" s="3">
        <v>7.09</v>
      </c>
      <c r="P208" s="3">
        <v>13.23</v>
      </c>
      <c r="Q208" s="3">
        <v>2.46</v>
      </c>
      <c r="R208" s="3" t="s">
        <v>320</v>
      </c>
      <c r="S208" s="3" t="s">
        <v>21</v>
      </c>
      <c r="T208" s="3">
        <v>5</v>
      </c>
    </row>
    <row r="209" spans="1:20" x14ac:dyDescent="0.35">
      <c r="A209" s="4" t="s">
        <v>321</v>
      </c>
      <c r="B209" s="7">
        <v>46235</v>
      </c>
      <c r="C209" s="7">
        <f>Delivered_data[[#This Row],[order_date]]-WEEKDAY(Delivered_data[[#This Row],[order_date]],2)+1</f>
        <v>46230</v>
      </c>
      <c r="D209" s="4" t="s">
        <v>18</v>
      </c>
      <c r="E209" s="4" t="s">
        <v>19</v>
      </c>
      <c r="F209" s="20">
        <f>_xlfn.XLOOKUP(Delivered_data[[#This Row],[store_id]],blinkit_stores!A:A,blinkit_stores!F:F,"not found")</f>
        <v>0.375</v>
      </c>
      <c r="G209" s="8">
        <v>0.6958333333333333</v>
      </c>
      <c r="H209" s="8" t="str">
        <f>IF(AND(Delivered_data[[#This Row],[order_time]]&gt;=TIME(19,0,0),Delivered_data[[#This Row],[order_time]]&lt;=TIME(22,59,59)),"Peak","Non-Peak")</f>
        <v>Non-Peak</v>
      </c>
      <c r="I209" s="4">
        <v>5</v>
      </c>
      <c r="J209" s="4">
        <v>422.31</v>
      </c>
      <c r="K209" s="4">
        <v>2.73</v>
      </c>
      <c r="L209" s="4">
        <v>1.02</v>
      </c>
      <c r="M209" s="4">
        <v>1.01</v>
      </c>
      <c r="N209" s="4">
        <v>0.86</v>
      </c>
      <c r="O209" s="4">
        <v>6.76</v>
      </c>
      <c r="P209" s="4">
        <v>12.38</v>
      </c>
      <c r="Q209" s="4">
        <v>2.0299999999999998</v>
      </c>
      <c r="R209" s="4" t="s">
        <v>181</v>
      </c>
      <c r="S209" s="4" t="s">
        <v>21</v>
      </c>
      <c r="T209" s="4">
        <v>4.9000000000000004</v>
      </c>
    </row>
    <row r="210" spans="1:20" x14ac:dyDescent="0.35">
      <c r="A210" s="3" t="s">
        <v>322</v>
      </c>
      <c r="B210" s="5">
        <v>46228</v>
      </c>
      <c r="C210" s="5">
        <f>Delivered_data[[#This Row],[order_date]]-WEEKDAY(Delivered_data[[#This Row],[order_date]],2)+1</f>
        <v>46223</v>
      </c>
      <c r="D210" s="3" t="s">
        <v>23</v>
      </c>
      <c r="E210" s="3" t="s">
        <v>24</v>
      </c>
      <c r="F210" s="19">
        <f>_xlfn.XLOOKUP(Delivered_data[[#This Row],[store_id]],blinkit_stores!A:A,blinkit_stores!F:F,"not found")</f>
        <v>0.8571428571428571</v>
      </c>
      <c r="G210" s="6">
        <v>0.30763888888888891</v>
      </c>
      <c r="H210" s="6" t="str">
        <f>IF(AND(Delivered_data[[#This Row],[order_time]]&gt;=TIME(19,0,0),Delivered_data[[#This Row],[order_time]]&lt;=TIME(22,59,59)),"Peak","Non-Peak")</f>
        <v>Non-Peak</v>
      </c>
      <c r="I210" s="3">
        <v>4</v>
      </c>
      <c r="J210" s="3">
        <v>572.66999999999996</v>
      </c>
      <c r="K210" s="3">
        <v>1.99</v>
      </c>
      <c r="L210" s="3">
        <v>0.74</v>
      </c>
      <c r="M210" s="3">
        <v>0.62</v>
      </c>
      <c r="N210" s="3">
        <v>1</v>
      </c>
      <c r="O210" s="3">
        <v>3.05</v>
      </c>
      <c r="P210" s="3">
        <v>7.4</v>
      </c>
      <c r="Q210" s="3">
        <v>0.4</v>
      </c>
      <c r="R210" s="3" t="s">
        <v>20</v>
      </c>
      <c r="S210" s="3" t="s">
        <v>21</v>
      </c>
      <c r="T210" s="3">
        <v>5</v>
      </c>
    </row>
    <row r="211" spans="1:20" x14ac:dyDescent="0.35">
      <c r="A211" s="4" t="s">
        <v>323</v>
      </c>
      <c r="B211" s="7">
        <v>46224</v>
      </c>
      <c r="C211" s="7">
        <f>Delivered_data[[#This Row],[order_date]]-WEEKDAY(Delivered_data[[#This Row],[order_date]],2)+1</f>
        <v>46223</v>
      </c>
      <c r="D211" s="4" t="s">
        <v>23</v>
      </c>
      <c r="E211" s="4" t="s">
        <v>24</v>
      </c>
      <c r="F211" s="20">
        <f>_xlfn.XLOOKUP(Delivered_data[[#This Row],[store_id]],blinkit_stores!A:A,blinkit_stores!F:F,"not found")</f>
        <v>0.8571428571428571</v>
      </c>
      <c r="G211" s="8">
        <v>0.42499999999999999</v>
      </c>
      <c r="H211" s="8" t="str">
        <f>IF(AND(Delivered_data[[#This Row],[order_time]]&gt;=TIME(19,0,0),Delivered_data[[#This Row],[order_time]]&lt;=TIME(22,59,59)),"Peak","Non-Peak")</f>
        <v>Non-Peak</v>
      </c>
      <c r="I211" s="4">
        <v>8</v>
      </c>
      <c r="J211" s="4">
        <v>495.64</v>
      </c>
      <c r="K211" s="4">
        <v>3.82</v>
      </c>
      <c r="L211" s="4">
        <v>1.22</v>
      </c>
      <c r="M211" s="4">
        <v>0.93</v>
      </c>
      <c r="N211" s="4">
        <v>0.63</v>
      </c>
      <c r="O211" s="4">
        <v>3</v>
      </c>
      <c r="P211" s="4">
        <v>9.6</v>
      </c>
      <c r="Q211" s="4">
        <v>0.4</v>
      </c>
      <c r="R211" s="4" t="s">
        <v>156</v>
      </c>
      <c r="S211" s="4" t="s">
        <v>21</v>
      </c>
      <c r="T211" s="4">
        <v>5</v>
      </c>
    </row>
    <row r="212" spans="1:20" x14ac:dyDescent="0.35">
      <c r="A212" s="3" t="s">
        <v>324</v>
      </c>
      <c r="B212" s="5">
        <v>46218</v>
      </c>
      <c r="C212" s="5">
        <f>Delivered_data[[#This Row],[order_date]]-WEEKDAY(Delivered_data[[#This Row],[order_date]],2)+1</f>
        <v>46216</v>
      </c>
      <c r="D212" s="3" t="s">
        <v>23</v>
      </c>
      <c r="E212" s="3" t="s">
        <v>35</v>
      </c>
      <c r="F212" s="19">
        <f>_xlfn.XLOOKUP(Delivered_data[[#This Row],[store_id]],blinkit_stores!A:A,blinkit_stores!F:F,"not found")</f>
        <v>0.5</v>
      </c>
      <c r="G212" s="6">
        <v>0.68888888888888888</v>
      </c>
      <c r="H212" s="6" t="str">
        <f>IF(AND(Delivered_data[[#This Row],[order_time]]&gt;=TIME(19,0,0),Delivered_data[[#This Row],[order_time]]&lt;=TIME(22,59,59)),"Peak","Non-Peak")</f>
        <v>Non-Peak</v>
      </c>
      <c r="I212" s="3">
        <v>5</v>
      </c>
      <c r="J212" s="3">
        <v>337.33</v>
      </c>
      <c r="K212" s="3">
        <v>2.52</v>
      </c>
      <c r="L212" s="3">
        <v>1.01</v>
      </c>
      <c r="M212" s="3">
        <v>0.91</v>
      </c>
      <c r="N212" s="3">
        <v>0.4</v>
      </c>
      <c r="O212" s="3">
        <v>5.53</v>
      </c>
      <c r="P212" s="3">
        <v>10.37</v>
      </c>
      <c r="Q212" s="3">
        <v>1.65</v>
      </c>
      <c r="R212" s="3" t="s">
        <v>325</v>
      </c>
      <c r="S212" s="3" t="s">
        <v>21</v>
      </c>
      <c r="T212" s="3">
        <v>4.5</v>
      </c>
    </row>
    <row r="213" spans="1:20" x14ac:dyDescent="0.35">
      <c r="A213" s="4" t="s">
        <v>326</v>
      </c>
      <c r="B213" s="7">
        <v>46222</v>
      </c>
      <c r="C213" s="7">
        <f>Delivered_data[[#This Row],[order_date]]-WEEKDAY(Delivered_data[[#This Row],[order_date]],2)+1</f>
        <v>46216</v>
      </c>
      <c r="D213" s="4" t="s">
        <v>23</v>
      </c>
      <c r="E213" s="4" t="s">
        <v>35</v>
      </c>
      <c r="F213" s="20">
        <f>_xlfn.XLOOKUP(Delivered_data[[#This Row],[store_id]],blinkit_stores!A:A,blinkit_stores!F:F,"not found")</f>
        <v>0.5</v>
      </c>
      <c r="G213" s="8">
        <v>0.18263888888888888</v>
      </c>
      <c r="H213" s="8" t="str">
        <f>IF(AND(Delivered_data[[#This Row],[order_time]]&gt;=TIME(19,0,0),Delivered_data[[#This Row],[order_time]]&lt;=TIME(22,59,59)),"Peak","Non-Peak")</f>
        <v>Non-Peak</v>
      </c>
      <c r="I213" s="4">
        <v>8</v>
      </c>
      <c r="J213" s="4">
        <v>558.38</v>
      </c>
      <c r="K213" s="4">
        <v>3.64</v>
      </c>
      <c r="L213" s="4">
        <v>1.33</v>
      </c>
      <c r="M213" s="4">
        <v>1</v>
      </c>
      <c r="N213" s="4">
        <v>0.43</v>
      </c>
      <c r="O213" s="4">
        <v>6.55</v>
      </c>
      <c r="P213" s="4">
        <v>12.95</v>
      </c>
      <c r="Q213" s="4">
        <v>2.61</v>
      </c>
      <c r="R213" s="4" t="s">
        <v>198</v>
      </c>
      <c r="S213" s="4" t="s">
        <v>21</v>
      </c>
      <c r="T213" s="4">
        <v>4.5999999999999996</v>
      </c>
    </row>
    <row r="214" spans="1:20" x14ac:dyDescent="0.35">
      <c r="A214" s="3" t="s">
        <v>327</v>
      </c>
      <c r="B214" s="5">
        <v>46221</v>
      </c>
      <c r="C214" s="5">
        <f>Delivered_data[[#This Row],[order_date]]-WEEKDAY(Delivered_data[[#This Row],[order_date]],2)+1</f>
        <v>46216</v>
      </c>
      <c r="D214" s="3" t="s">
        <v>23</v>
      </c>
      <c r="E214" s="3" t="s">
        <v>24</v>
      </c>
      <c r="F214" s="19">
        <f>_xlfn.XLOOKUP(Delivered_data[[#This Row],[store_id]],blinkit_stores!A:A,blinkit_stores!F:F,"not found")</f>
        <v>0.8571428571428571</v>
      </c>
      <c r="G214" s="6">
        <v>0.74722222222222223</v>
      </c>
      <c r="H214" s="6" t="str">
        <f>IF(AND(Delivered_data[[#This Row],[order_time]]&gt;=TIME(19,0,0),Delivered_data[[#This Row],[order_time]]&lt;=TIME(22,59,59)),"Peak","Non-Peak")</f>
        <v>Non-Peak</v>
      </c>
      <c r="I214" s="3">
        <v>6</v>
      </c>
      <c r="J214" s="3">
        <v>287.77</v>
      </c>
      <c r="K214" s="3">
        <v>3.85</v>
      </c>
      <c r="L214" s="3">
        <v>1.22</v>
      </c>
      <c r="M214" s="3">
        <v>1.34</v>
      </c>
      <c r="N214" s="3">
        <v>0.35</v>
      </c>
      <c r="O214" s="3">
        <v>3.24</v>
      </c>
      <c r="P214" s="3">
        <v>10</v>
      </c>
      <c r="Q214" s="3">
        <v>0.4</v>
      </c>
      <c r="R214" s="3" t="s">
        <v>48</v>
      </c>
      <c r="S214" s="3" t="s">
        <v>21</v>
      </c>
      <c r="T214" s="3">
        <v>4.8</v>
      </c>
    </row>
    <row r="215" spans="1:20" x14ac:dyDescent="0.35">
      <c r="A215" s="4" t="s">
        <v>328</v>
      </c>
      <c r="B215" s="7">
        <v>46223</v>
      </c>
      <c r="C215" s="7">
        <f>Delivered_data[[#This Row],[order_date]]-WEEKDAY(Delivered_data[[#This Row],[order_date]],2)+1</f>
        <v>46223</v>
      </c>
      <c r="D215" s="4" t="s">
        <v>18</v>
      </c>
      <c r="E215" s="4" t="s">
        <v>31</v>
      </c>
      <c r="F215" s="20">
        <f>_xlfn.XLOOKUP(Delivered_data[[#This Row],[store_id]],blinkit_stores!A:A,blinkit_stores!F:F,"not found")</f>
        <v>0.7142857142857143</v>
      </c>
      <c r="G215" s="8">
        <v>0.69652777777777775</v>
      </c>
      <c r="H215" s="8" t="str">
        <f>IF(AND(Delivered_data[[#This Row],[order_time]]&gt;=TIME(19,0,0),Delivered_data[[#This Row],[order_time]]&lt;=TIME(22,59,59)),"Peak","Non-Peak")</f>
        <v>Non-Peak</v>
      </c>
      <c r="I215" s="4">
        <v>3</v>
      </c>
      <c r="J215" s="4">
        <v>713.78</v>
      </c>
      <c r="K215" s="4">
        <v>2.14</v>
      </c>
      <c r="L215" s="4">
        <v>0.67</v>
      </c>
      <c r="M215" s="4">
        <v>1.69</v>
      </c>
      <c r="N215" s="4">
        <v>0.53</v>
      </c>
      <c r="O215" s="4">
        <v>5.82</v>
      </c>
      <c r="P215" s="4">
        <v>10.85</v>
      </c>
      <c r="Q215" s="4">
        <v>1.75</v>
      </c>
      <c r="R215" s="4" t="s">
        <v>165</v>
      </c>
      <c r="S215" s="4" t="s">
        <v>21</v>
      </c>
      <c r="T215" s="4">
        <v>4.2</v>
      </c>
    </row>
    <row r="216" spans="1:20" x14ac:dyDescent="0.35">
      <c r="A216" s="3" t="s">
        <v>329</v>
      </c>
      <c r="B216" s="5">
        <v>46242</v>
      </c>
      <c r="C216" s="5">
        <f>Delivered_data[[#This Row],[order_date]]-WEEKDAY(Delivered_data[[#This Row],[order_date]],2)+1</f>
        <v>46237</v>
      </c>
      <c r="D216" s="3" t="s">
        <v>18</v>
      </c>
      <c r="E216" s="3" t="s">
        <v>42</v>
      </c>
      <c r="F216" s="19">
        <f>_xlfn.XLOOKUP(Delivered_data[[#This Row],[store_id]],blinkit_stores!A:A,blinkit_stores!F:F,"not found")</f>
        <v>0.625</v>
      </c>
      <c r="G216" s="6">
        <v>2.7777777777777779E-3</v>
      </c>
      <c r="H216" s="6" t="str">
        <f>IF(AND(Delivered_data[[#This Row],[order_time]]&gt;=TIME(19,0,0),Delivered_data[[#This Row],[order_time]]&lt;=TIME(22,59,59)),"Peak","Non-Peak")</f>
        <v>Non-Peak</v>
      </c>
      <c r="I216" s="3">
        <v>2</v>
      </c>
      <c r="J216" s="3">
        <v>416.37</v>
      </c>
      <c r="K216" s="3">
        <v>1.35</v>
      </c>
      <c r="L216" s="3">
        <v>0.61</v>
      </c>
      <c r="M216" s="3">
        <v>0.66</v>
      </c>
      <c r="N216" s="3">
        <v>0.84</v>
      </c>
      <c r="O216" s="3">
        <v>4.33</v>
      </c>
      <c r="P216" s="3">
        <v>7.79</v>
      </c>
      <c r="Q216" s="3">
        <v>1.73</v>
      </c>
      <c r="R216" s="3" t="s">
        <v>106</v>
      </c>
      <c r="S216" s="3" t="s">
        <v>21</v>
      </c>
      <c r="T216" s="3">
        <v>5</v>
      </c>
    </row>
    <row r="217" spans="1:20" x14ac:dyDescent="0.35">
      <c r="A217" s="4" t="s">
        <v>331</v>
      </c>
      <c r="B217" s="7">
        <v>46220</v>
      </c>
      <c r="C217" s="7">
        <f>Delivered_data[[#This Row],[order_date]]-WEEKDAY(Delivered_data[[#This Row],[order_date]],2)+1</f>
        <v>46216</v>
      </c>
      <c r="D217" s="4" t="s">
        <v>46</v>
      </c>
      <c r="E217" s="4" t="s">
        <v>47</v>
      </c>
      <c r="F217" s="20">
        <f>_xlfn.XLOOKUP(Delivered_data[[#This Row],[store_id]],blinkit_stores!A:A,blinkit_stores!F:F,"not found")</f>
        <v>1.5</v>
      </c>
      <c r="G217" s="8">
        <v>0.84652777777777777</v>
      </c>
      <c r="H217" s="8" t="str">
        <f>IF(AND(Delivered_data[[#This Row],[order_time]]&gt;=TIME(19,0,0),Delivered_data[[#This Row],[order_time]]&lt;=TIME(22,59,59)),"Peak","Non-Peak")</f>
        <v>Peak</v>
      </c>
      <c r="I217" s="4">
        <v>3</v>
      </c>
      <c r="J217" s="4">
        <v>550.99</v>
      </c>
      <c r="K217" s="4">
        <v>2.85</v>
      </c>
      <c r="L217" s="4">
        <v>0.76</v>
      </c>
      <c r="M217" s="4">
        <v>1.93</v>
      </c>
      <c r="N217" s="4">
        <v>0.8</v>
      </c>
      <c r="O217" s="4">
        <v>6.34</v>
      </c>
      <c r="P217" s="4">
        <v>12.68</v>
      </c>
      <c r="Q217" s="4">
        <v>2.1</v>
      </c>
      <c r="R217" s="4" t="s">
        <v>67</v>
      </c>
      <c r="S217" s="4" t="s">
        <v>21</v>
      </c>
      <c r="T217" s="4">
        <v>3.9</v>
      </c>
    </row>
    <row r="218" spans="1:20" x14ac:dyDescent="0.35">
      <c r="A218" s="3" t="s">
        <v>332</v>
      </c>
      <c r="B218" s="5">
        <v>46216</v>
      </c>
      <c r="C218" s="5">
        <f>Delivered_data[[#This Row],[order_date]]-WEEKDAY(Delivered_data[[#This Row],[order_date]],2)+1</f>
        <v>46216</v>
      </c>
      <c r="D218" s="3" t="s">
        <v>18</v>
      </c>
      <c r="E218" s="3" t="s">
        <v>31</v>
      </c>
      <c r="F218" s="19">
        <f>_xlfn.XLOOKUP(Delivered_data[[#This Row],[store_id]],blinkit_stores!A:A,blinkit_stores!F:F,"not found")</f>
        <v>0.7142857142857143</v>
      </c>
      <c r="G218" s="6">
        <v>0.53680555555555554</v>
      </c>
      <c r="H218" s="6" t="str">
        <f>IF(AND(Delivered_data[[#This Row],[order_time]]&gt;=TIME(19,0,0),Delivered_data[[#This Row],[order_time]]&lt;=TIME(22,59,59)),"Peak","Non-Peak")</f>
        <v>Non-Peak</v>
      </c>
      <c r="I218" s="3">
        <v>4</v>
      </c>
      <c r="J218" s="3">
        <v>453.4</v>
      </c>
      <c r="K218" s="3">
        <v>3.37</v>
      </c>
      <c r="L218" s="3">
        <v>0.93</v>
      </c>
      <c r="M218" s="3">
        <v>0.7</v>
      </c>
      <c r="N218" s="3">
        <v>0.71</v>
      </c>
      <c r="O218" s="3">
        <v>6.41</v>
      </c>
      <c r="P218" s="3">
        <v>12.12</v>
      </c>
      <c r="Q218" s="3">
        <v>2.54</v>
      </c>
      <c r="R218" s="3" t="s">
        <v>59</v>
      </c>
      <c r="S218" s="3" t="s">
        <v>21</v>
      </c>
      <c r="T218" s="3">
        <v>4.7</v>
      </c>
    </row>
    <row r="219" spans="1:20" x14ac:dyDescent="0.35">
      <c r="A219" s="4" t="s">
        <v>333</v>
      </c>
      <c r="B219" s="7">
        <v>46234</v>
      </c>
      <c r="C219" s="7">
        <f>Delivered_data[[#This Row],[order_date]]-WEEKDAY(Delivered_data[[#This Row],[order_date]],2)+1</f>
        <v>46230</v>
      </c>
      <c r="D219" s="4" t="s">
        <v>18</v>
      </c>
      <c r="E219" s="4" t="s">
        <v>19</v>
      </c>
      <c r="F219" s="20">
        <f>_xlfn.XLOOKUP(Delivered_data[[#This Row],[store_id]],blinkit_stores!A:A,blinkit_stores!F:F,"not found")</f>
        <v>0.375</v>
      </c>
      <c r="G219" s="8">
        <v>0.60833333333333328</v>
      </c>
      <c r="H219" s="8" t="str">
        <f>IF(AND(Delivered_data[[#This Row],[order_time]]&gt;=TIME(19,0,0),Delivered_data[[#This Row],[order_time]]&lt;=TIME(22,59,59)),"Peak","Non-Peak")</f>
        <v>Non-Peak</v>
      </c>
      <c r="I219" s="4">
        <v>4</v>
      </c>
      <c r="J219" s="4">
        <v>605.6</v>
      </c>
      <c r="K219" s="4">
        <v>2.25</v>
      </c>
      <c r="L219" s="4">
        <v>0.99</v>
      </c>
      <c r="M219" s="4">
        <v>1.28</v>
      </c>
      <c r="N219" s="4">
        <v>0.63</v>
      </c>
      <c r="O219" s="4">
        <v>6.26</v>
      </c>
      <c r="P219" s="4">
        <v>11.41</v>
      </c>
      <c r="Q219" s="4">
        <v>2.33</v>
      </c>
      <c r="R219" s="4" t="s">
        <v>97</v>
      </c>
      <c r="S219" s="4" t="s">
        <v>21</v>
      </c>
      <c r="T219" s="4">
        <v>5</v>
      </c>
    </row>
    <row r="220" spans="1:20" x14ac:dyDescent="0.35">
      <c r="A220" s="3" t="s">
        <v>334</v>
      </c>
      <c r="B220" s="5">
        <v>46225</v>
      </c>
      <c r="C220" s="5">
        <f>Delivered_data[[#This Row],[order_date]]-WEEKDAY(Delivered_data[[#This Row],[order_date]],2)+1</f>
        <v>46223</v>
      </c>
      <c r="D220" s="3" t="s">
        <v>18</v>
      </c>
      <c r="E220" s="3" t="s">
        <v>31</v>
      </c>
      <c r="F220" s="19">
        <f>_xlfn.XLOOKUP(Delivered_data[[#This Row],[store_id]],blinkit_stores!A:A,blinkit_stores!F:F,"not found")</f>
        <v>0.7142857142857143</v>
      </c>
      <c r="G220" s="6">
        <v>0.68819444444444444</v>
      </c>
      <c r="H220" s="6" t="str">
        <f>IF(AND(Delivered_data[[#This Row],[order_time]]&gt;=TIME(19,0,0),Delivered_data[[#This Row],[order_time]]&lt;=TIME(22,59,59)),"Peak","Non-Peak")</f>
        <v>Non-Peak</v>
      </c>
      <c r="I220" s="3">
        <v>4</v>
      </c>
      <c r="J220" s="3">
        <v>414.52</v>
      </c>
      <c r="K220" s="3">
        <v>2.85</v>
      </c>
      <c r="L220" s="3">
        <v>0.86</v>
      </c>
      <c r="M220" s="3">
        <v>1.76</v>
      </c>
      <c r="N220" s="3">
        <v>0.94</v>
      </c>
      <c r="O220" s="3">
        <v>3.3</v>
      </c>
      <c r="P220" s="3">
        <v>9.7100000000000009</v>
      </c>
      <c r="Q220" s="3">
        <v>0.4</v>
      </c>
      <c r="R220" s="3" t="s">
        <v>97</v>
      </c>
      <c r="S220" s="3" t="s">
        <v>21</v>
      </c>
      <c r="T220" s="3">
        <v>5</v>
      </c>
    </row>
    <row r="221" spans="1:20" x14ac:dyDescent="0.35">
      <c r="A221" s="4" t="s">
        <v>335</v>
      </c>
      <c r="B221" s="7">
        <v>46227</v>
      </c>
      <c r="C221" s="7">
        <f>Delivered_data[[#This Row],[order_date]]-WEEKDAY(Delivered_data[[#This Row],[order_date]],2)+1</f>
        <v>46223</v>
      </c>
      <c r="D221" s="4" t="s">
        <v>23</v>
      </c>
      <c r="E221" s="4" t="s">
        <v>50</v>
      </c>
      <c r="F221" s="20">
        <f>_xlfn.XLOOKUP(Delivered_data[[#This Row],[store_id]],blinkit_stores!A:A,blinkit_stores!F:F,"not found")</f>
        <v>0.33333333333333331</v>
      </c>
      <c r="G221" s="8">
        <v>0.61319444444444449</v>
      </c>
      <c r="H221" s="8" t="str">
        <f>IF(AND(Delivered_data[[#This Row],[order_time]]&gt;=TIME(19,0,0),Delivered_data[[#This Row],[order_time]]&lt;=TIME(22,59,59)),"Peak","Non-Peak")</f>
        <v>Non-Peak</v>
      </c>
      <c r="I221" s="4">
        <v>5</v>
      </c>
      <c r="J221" s="4">
        <v>656.83</v>
      </c>
      <c r="K221" s="4">
        <v>2.74</v>
      </c>
      <c r="L221" s="4">
        <v>0.91</v>
      </c>
      <c r="M221" s="4">
        <v>0.48</v>
      </c>
      <c r="N221" s="4">
        <v>0.76</v>
      </c>
      <c r="O221" s="4">
        <v>6.23</v>
      </c>
      <c r="P221" s="4">
        <v>11.12</v>
      </c>
      <c r="Q221" s="4">
        <v>2.89</v>
      </c>
      <c r="R221" s="4" t="s">
        <v>101</v>
      </c>
      <c r="S221" s="4" t="s">
        <v>21</v>
      </c>
      <c r="T221" s="4">
        <v>4.8</v>
      </c>
    </row>
    <row r="222" spans="1:20" x14ac:dyDescent="0.35">
      <c r="A222" s="3" t="s">
        <v>336</v>
      </c>
      <c r="B222" s="5">
        <v>46239</v>
      </c>
      <c r="C222" s="5">
        <f>Delivered_data[[#This Row],[order_date]]-WEEKDAY(Delivered_data[[#This Row],[order_date]],2)+1</f>
        <v>46237</v>
      </c>
      <c r="D222" s="3" t="s">
        <v>23</v>
      </c>
      <c r="E222" s="3" t="s">
        <v>24</v>
      </c>
      <c r="F222" s="19">
        <f>_xlfn.XLOOKUP(Delivered_data[[#This Row],[store_id]],blinkit_stores!A:A,blinkit_stores!F:F,"not found")</f>
        <v>0.8571428571428571</v>
      </c>
      <c r="G222" s="6">
        <v>0.95347222222222228</v>
      </c>
      <c r="H222" s="6" t="str">
        <f>IF(AND(Delivered_data[[#This Row],[order_time]]&gt;=TIME(19,0,0),Delivered_data[[#This Row],[order_time]]&lt;=TIME(22,59,59)),"Peak","Non-Peak")</f>
        <v>Peak</v>
      </c>
      <c r="I222" s="3">
        <v>10</v>
      </c>
      <c r="J222" s="3">
        <v>257.72000000000003</v>
      </c>
      <c r="K222" s="3">
        <v>3.96</v>
      </c>
      <c r="L222" s="3">
        <v>1.37</v>
      </c>
      <c r="M222" s="3">
        <v>1.69</v>
      </c>
      <c r="N222" s="3">
        <v>1.35</v>
      </c>
      <c r="O222" s="3">
        <v>7.96</v>
      </c>
      <c r="P222" s="3">
        <v>16.329999999999998</v>
      </c>
      <c r="Q222" s="3">
        <v>2.64</v>
      </c>
      <c r="R222" s="3" t="s">
        <v>145</v>
      </c>
      <c r="S222" s="3" t="s">
        <v>21</v>
      </c>
      <c r="T222" s="3">
        <v>3.7</v>
      </c>
    </row>
    <row r="223" spans="1:20" x14ac:dyDescent="0.35">
      <c r="A223" s="4" t="s">
        <v>337</v>
      </c>
      <c r="B223" s="7">
        <v>46230</v>
      </c>
      <c r="C223" s="7">
        <f>Delivered_data[[#This Row],[order_date]]-WEEKDAY(Delivered_data[[#This Row],[order_date]],2)+1</f>
        <v>46230</v>
      </c>
      <c r="D223" s="4" t="s">
        <v>23</v>
      </c>
      <c r="E223" s="4" t="s">
        <v>35</v>
      </c>
      <c r="F223" s="20">
        <f>_xlfn.XLOOKUP(Delivered_data[[#This Row],[store_id]],blinkit_stores!A:A,blinkit_stores!F:F,"not found")</f>
        <v>0.5</v>
      </c>
      <c r="G223" s="8">
        <v>3.1944444444444442E-2</v>
      </c>
      <c r="H223" s="8" t="str">
        <f>IF(AND(Delivered_data[[#This Row],[order_time]]&gt;=TIME(19,0,0),Delivered_data[[#This Row],[order_time]]&lt;=TIME(22,59,59)),"Peak","Non-Peak")</f>
        <v>Non-Peak</v>
      </c>
      <c r="I223" s="4">
        <v>5</v>
      </c>
      <c r="J223" s="4">
        <v>522.75</v>
      </c>
      <c r="K223" s="4">
        <v>3.83</v>
      </c>
      <c r="L223" s="4">
        <v>0.85</v>
      </c>
      <c r="M223" s="4">
        <v>1.7</v>
      </c>
      <c r="N223" s="4">
        <v>0.67</v>
      </c>
      <c r="O223" s="4">
        <v>6.85</v>
      </c>
      <c r="P223" s="4">
        <v>13.9</v>
      </c>
      <c r="Q223" s="4">
        <v>2.66</v>
      </c>
      <c r="R223" s="4" t="s">
        <v>20</v>
      </c>
      <c r="S223" s="4" t="s">
        <v>21</v>
      </c>
      <c r="T223" s="4">
        <v>4.5999999999999996</v>
      </c>
    </row>
    <row r="224" spans="1:20" x14ac:dyDescent="0.35">
      <c r="A224" s="3" t="s">
        <v>338</v>
      </c>
      <c r="B224" s="5">
        <v>46242</v>
      </c>
      <c r="C224" s="5">
        <f>Delivered_data[[#This Row],[order_date]]-WEEKDAY(Delivered_data[[#This Row],[order_date]],2)+1</f>
        <v>46237</v>
      </c>
      <c r="D224" s="3" t="s">
        <v>23</v>
      </c>
      <c r="E224" s="3" t="s">
        <v>35</v>
      </c>
      <c r="F224" s="19">
        <f>_xlfn.XLOOKUP(Delivered_data[[#This Row],[store_id]],blinkit_stores!A:A,blinkit_stores!F:F,"not found")</f>
        <v>0.5</v>
      </c>
      <c r="G224" s="6">
        <v>0.60138888888888886</v>
      </c>
      <c r="H224" s="6" t="str">
        <f>IF(AND(Delivered_data[[#This Row],[order_time]]&gt;=TIME(19,0,0),Delivered_data[[#This Row],[order_time]]&lt;=TIME(22,59,59)),"Peak","Non-Peak")</f>
        <v>Non-Peak</v>
      </c>
      <c r="I224" s="3">
        <v>5</v>
      </c>
      <c r="J224" s="3">
        <v>849.01</v>
      </c>
      <c r="K224" s="3">
        <v>2.37</v>
      </c>
      <c r="L224" s="3">
        <v>1.2</v>
      </c>
      <c r="M224" s="3">
        <v>1.56</v>
      </c>
      <c r="N224" s="3">
        <v>1.06</v>
      </c>
      <c r="O224" s="3">
        <v>11.47</v>
      </c>
      <c r="P224" s="3">
        <v>17.66</v>
      </c>
      <c r="Q224" s="3">
        <v>5.5</v>
      </c>
      <c r="R224" s="3" t="s">
        <v>152</v>
      </c>
      <c r="S224" s="3" t="s">
        <v>21</v>
      </c>
      <c r="T224" s="3">
        <v>3.7</v>
      </c>
    </row>
    <row r="225" spans="1:20" x14ac:dyDescent="0.35">
      <c r="A225" s="4" t="s">
        <v>339</v>
      </c>
      <c r="B225" s="7">
        <v>46237</v>
      </c>
      <c r="C225" s="7">
        <f>Delivered_data[[#This Row],[order_date]]-WEEKDAY(Delivered_data[[#This Row],[order_date]],2)+1</f>
        <v>46237</v>
      </c>
      <c r="D225" s="4" t="s">
        <v>23</v>
      </c>
      <c r="E225" s="4" t="s">
        <v>24</v>
      </c>
      <c r="F225" s="20">
        <f>_xlfn.XLOOKUP(Delivered_data[[#This Row],[store_id]],blinkit_stores!A:A,blinkit_stores!F:F,"not found")</f>
        <v>0.8571428571428571</v>
      </c>
      <c r="G225" s="8">
        <v>0.5708333333333333</v>
      </c>
      <c r="H225" s="8" t="str">
        <f>IF(AND(Delivered_data[[#This Row],[order_time]]&gt;=TIME(19,0,0),Delivered_data[[#This Row],[order_time]]&lt;=TIME(22,59,59)),"Peak","Non-Peak")</f>
        <v>Non-Peak</v>
      </c>
      <c r="I225" s="4">
        <v>8</v>
      </c>
      <c r="J225" s="4">
        <v>319.94</v>
      </c>
      <c r="K225" s="4">
        <v>3.65</v>
      </c>
      <c r="L225" s="4">
        <v>1</v>
      </c>
      <c r="M225" s="4">
        <v>1.3</v>
      </c>
      <c r="N225" s="4">
        <v>0.71</v>
      </c>
      <c r="O225" s="4">
        <v>3.84</v>
      </c>
      <c r="P225" s="4">
        <v>10.5</v>
      </c>
      <c r="Q225" s="4">
        <v>0.4</v>
      </c>
      <c r="R225" s="4" t="s">
        <v>132</v>
      </c>
      <c r="S225" s="4" t="s">
        <v>21</v>
      </c>
      <c r="T225" s="4">
        <v>4</v>
      </c>
    </row>
    <row r="226" spans="1:20" x14ac:dyDescent="0.35">
      <c r="A226" s="3" t="s">
        <v>340</v>
      </c>
      <c r="B226" s="5">
        <v>46239</v>
      </c>
      <c r="C226" s="5">
        <f>Delivered_data[[#This Row],[order_date]]-WEEKDAY(Delivered_data[[#This Row],[order_date]],2)+1</f>
        <v>46237</v>
      </c>
      <c r="D226" s="3" t="s">
        <v>23</v>
      </c>
      <c r="E226" s="3" t="s">
        <v>35</v>
      </c>
      <c r="F226" s="19">
        <f>_xlfn.XLOOKUP(Delivered_data[[#This Row],[store_id]],blinkit_stores!A:A,blinkit_stores!F:F,"not found")</f>
        <v>0.5</v>
      </c>
      <c r="G226" s="6">
        <v>0.64930555555555558</v>
      </c>
      <c r="H226" s="6" t="str">
        <f>IF(AND(Delivered_data[[#This Row],[order_time]]&gt;=TIME(19,0,0),Delivered_data[[#This Row],[order_time]]&lt;=TIME(22,59,59)),"Peak","Non-Peak")</f>
        <v>Non-Peak</v>
      </c>
      <c r="I226" s="3">
        <v>8</v>
      </c>
      <c r="J226" s="3">
        <v>378.01</v>
      </c>
      <c r="K226" s="3">
        <v>3.72</v>
      </c>
      <c r="L226" s="3">
        <v>1.21</v>
      </c>
      <c r="M226" s="3">
        <v>1.58</v>
      </c>
      <c r="N226" s="3">
        <v>1.07</v>
      </c>
      <c r="O226" s="3">
        <v>7.95</v>
      </c>
      <c r="P226" s="3">
        <v>15.53</v>
      </c>
      <c r="Q226" s="3">
        <v>3.75</v>
      </c>
      <c r="R226" s="3" t="s">
        <v>36</v>
      </c>
      <c r="S226" s="3" t="s">
        <v>21</v>
      </c>
      <c r="T226" s="3">
        <v>4.9000000000000004</v>
      </c>
    </row>
    <row r="227" spans="1:20" x14ac:dyDescent="0.35">
      <c r="A227" s="4" t="s">
        <v>341</v>
      </c>
      <c r="B227" s="7">
        <v>46224</v>
      </c>
      <c r="C227" s="7">
        <f>Delivered_data[[#This Row],[order_date]]-WEEKDAY(Delivered_data[[#This Row],[order_date]],2)+1</f>
        <v>46223</v>
      </c>
      <c r="D227" s="4" t="s">
        <v>46</v>
      </c>
      <c r="E227" s="4" t="s">
        <v>58</v>
      </c>
      <c r="F227" s="20">
        <f>_xlfn.XLOOKUP(Delivered_data[[#This Row],[store_id]],blinkit_stores!A:A,blinkit_stores!F:F,"not found")</f>
        <v>0.7142857142857143</v>
      </c>
      <c r="G227" s="8">
        <v>0.4548611111111111</v>
      </c>
      <c r="H227" s="8" t="str">
        <f>IF(AND(Delivered_data[[#This Row],[order_time]]&gt;=TIME(19,0,0),Delivered_data[[#This Row],[order_time]]&lt;=TIME(22,59,59)),"Peak","Non-Peak")</f>
        <v>Non-Peak</v>
      </c>
      <c r="I227" s="4">
        <v>5</v>
      </c>
      <c r="J227" s="4">
        <v>592.5</v>
      </c>
      <c r="K227" s="4">
        <v>3.28</v>
      </c>
      <c r="L227" s="4">
        <v>1.19</v>
      </c>
      <c r="M227" s="4">
        <v>1.01</v>
      </c>
      <c r="N227" s="4">
        <v>0.7</v>
      </c>
      <c r="O227" s="4">
        <v>5.97</v>
      </c>
      <c r="P227" s="4">
        <v>12.15</v>
      </c>
      <c r="Q227" s="4">
        <v>1.94</v>
      </c>
      <c r="R227" s="4" t="s">
        <v>97</v>
      </c>
      <c r="S227" s="4" t="s">
        <v>21</v>
      </c>
      <c r="T227" s="4">
        <v>5</v>
      </c>
    </row>
    <row r="228" spans="1:20" x14ac:dyDescent="0.35">
      <c r="A228" s="3" t="s">
        <v>342</v>
      </c>
      <c r="B228" s="5">
        <v>46235</v>
      </c>
      <c r="C228" s="5">
        <f>Delivered_data[[#This Row],[order_date]]-WEEKDAY(Delivered_data[[#This Row],[order_date]],2)+1</f>
        <v>46230</v>
      </c>
      <c r="D228" s="3" t="s">
        <v>18</v>
      </c>
      <c r="E228" s="3" t="s">
        <v>42</v>
      </c>
      <c r="F228" s="19">
        <f>_xlfn.XLOOKUP(Delivered_data[[#This Row],[store_id]],blinkit_stores!A:A,blinkit_stores!F:F,"not found")</f>
        <v>0.625</v>
      </c>
      <c r="G228" s="6">
        <v>0.18611111111111112</v>
      </c>
      <c r="H228" s="6" t="str">
        <f>IF(AND(Delivered_data[[#This Row],[order_time]]&gt;=TIME(19,0,0),Delivered_data[[#This Row],[order_time]]&lt;=TIME(22,59,59)),"Peak","Non-Peak")</f>
        <v>Non-Peak</v>
      </c>
      <c r="I228" s="3">
        <v>4</v>
      </c>
      <c r="J228" s="3">
        <v>532.32000000000005</v>
      </c>
      <c r="K228" s="3">
        <v>2.71</v>
      </c>
      <c r="L228" s="3">
        <v>0.87</v>
      </c>
      <c r="M228" s="3">
        <v>0.53</v>
      </c>
      <c r="N228" s="3">
        <v>0.89</v>
      </c>
      <c r="O228" s="3">
        <v>6.37</v>
      </c>
      <c r="P228" s="3">
        <v>11.37</v>
      </c>
      <c r="Q228" s="3">
        <v>2.46</v>
      </c>
      <c r="R228" s="3" t="s">
        <v>40</v>
      </c>
      <c r="S228" s="3" t="s">
        <v>21</v>
      </c>
      <c r="T228" s="3">
        <v>4.9000000000000004</v>
      </c>
    </row>
    <row r="229" spans="1:20" x14ac:dyDescent="0.35">
      <c r="A229" s="4" t="s">
        <v>343</v>
      </c>
      <c r="B229" s="7">
        <v>46232</v>
      </c>
      <c r="C229" s="7">
        <f>Delivered_data[[#This Row],[order_date]]-WEEKDAY(Delivered_data[[#This Row],[order_date]],2)+1</f>
        <v>46230</v>
      </c>
      <c r="D229" s="4" t="s">
        <v>23</v>
      </c>
      <c r="E229" s="4" t="s">
        <v>24</v>
      </c>
      <c r="F229" s="20">
        <f>_xlfn.XLOOKUP(Delivered_data[[#This Row],[store_id]],blinkit_stores!A:A,blinkit_stores!F:F,"not found")</f>
        <v>0.8571428571428571</v>
      </c>
      <c r="G229" s="8">
        <v>0.25624999999999998</v>
      </c>
      <c r="H229" s="8" t="str">
        <f>IF(AND(Delivered_data[[#This Row],[order_time]]&gt;=TIME(19,0,0),Delivered_data[[#This Row],[order_time]]&lt;=TIME(22,59,59)),"Peak","Non-Peak")</f>
        <v>Non-Peak</v>
      </c>
      <c r="I229" s="4">
        <v>7</v>
      </c>
      <c r="J229" s="4">
        <v>563.11</v>
      </c>
      <c r="K229" s="4">
        <v>3.45</v>
      </c>
      <c r="L229" s="4">
        <v>1.0900000000000001</v>
      </c>
      <c r="M229" s="4">
        <v>1.36</v>
      </c>
      <c r="N229" s="4">
        <v>0.57999999999999996</v>
      </c>
      <c r="O229" s="4">
        <v>6.51</v>
      </c>
      <c r="P229" s="4">
        <v>12.99</v>
      </c>
      <c r="Q229" s="4">
        <v>2.16</v>
      </c>
      <c r="R229" s="4" t="s">
        <v>344</v>
      </c>
      <c r="S229" s="4" t="s">
        <v>21</v>
      </c>
      <c r="T229" s="4">
        <v>4.7</v>
      </c>
    </row>
    <row r="230" spans="1:20" x14ac:dyDescent="0.35">
      <c r="A230" s="10" t="s">
        <v>345</v>
      </c>
      <c r="B230" s="11">
        <v>46232</v>
      </c>
      <c r="C230" s="11">
        <f>Delivered_data[[#This Row],[order_date]]-WEEKDAY(Delivered_data[[#This Row],[order_date]],2)+1</f>
        <v>46230</v>
      </c>
      <c r="D230" s="10" t="s">
        <v>23</v>
      </c>
      <c r="E230" s="10" t="s">
        <v>24</v>
      </c>
      <c r="F230" s="21">
        <f>_xlfn.XLOOKUP(Delivered_data[[#This Row],[store_id]],blinkit_stores!A:A,blinkit_stores!F:F,"not found")</f>
        <v>0.8571428571428571</v>
      </c>
      <c r="G230" s="12">
        <v>0.44097222222222221</v>
      </c>
      <c r="H230" s="12" t="str">
        <f>IF(AND(Delivered_data[[#This Row],[order_time]]&gt;=TIME(19,0,0),Delivered_data[[#This Row],[order_time]]&lt;=TIME(22,59,59)),"Peak","Non-Peak")</f>
        <v>Non-Peak</v>
      </c>
      <c r="I230" s="10">
        <v>7</v>
      </c>
      <c r="J230" s="10">
        <v>588.04999999999995</v>
      </c>
      <c r="K230" s="10">
        <v>3.2</v>
      </c>
      <c r="L230" s="10">
        <v>1.07</v>
      </c>
      <c r="M230" s="10">
        <v>1.4</v>
      </c>
      <c r="N230" s="10">
        <v>0.63</v>
      </c>
      <c r="O230" s="10">
        <v>4.3499999999999996</v>
      </c>
      <c r="P230" s="10">
        <v>10.65</v>
      </c>
      <c r="Q230" s="10">
        <v>1.82</v>
      </c>
      <c r="R230" s="10" t="s">
        <v>346</v>
      </c>
      <c r="S230" s="10" t="s">
        <v>21</v>
      </c>
      <c r="T230" s="10">
        <v>5</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4801-6318-4F87-8AB0-6C7D544D521A}">
  <sheetPr>
    <tabColor rgb="FFFF0066"/>
  </sheetPr>
  <dimension ref="A3:E236"/>
  <sheetViews>
    <sheetView topLeftCell="A208" zoomScale="78" zoomScaleNormal="70" workbookViewId="0">
      <selection activeCell="H228" sqref="H228"/>
    </sheetView>
  </sheetViews>
  <sheetFormatPr defaultColWidth="15.7265625" defaultRowHeight="14.5" x14ac:dyDescent="0.35"/>
  <cols>
    <col min="1" max="1" width="13.26953125" bestFit="1" customWidth="1"/>
    <col min="2" max="2" width="31.1796875" bestFit="1" customWidth="1"/>
    <col min="3" max="3" width="30.7265625" bestFit="1" customWidth="1"/>
    <col min="4" max="4" width="26.1796875" bestFit="1" customWidth="1"/>
    <col min="5" max="5" width="15.81640625" bestFit="1" customWidth="1"/>
    <col min="6" max="7" width="5.1796875" bestFit="1" customWidth="1"/>
    <col min="8" max="8" width="4.1796875" bestFit="1" customWidth="1"/>
    <col min="9" max="25" width="5.1796875" bestFit="1" customWidth="1"/>
    <col min="26" max="26" width="4.1796875" bestFit="1" customWidth="1"/>
    <col min="27" max="28" width="5.1796875" bestFit="1" customWidth="1"/>
    <col min="29" max="29" width="4.1796875" bestFit="1" customWidth="1"/>
    <col min="30" max="31" width="5.1796875" bestFit="1" customWidth="1"/>
    <col min="32" max="32" width="4.1796875" bestFit="1" customWidth="1"/>
    <col min="33" max="54" width="5.1796875" bestFit="1" customWidth="1"/>
    <col min="55" max="55" width="4.1796875" bestFit="1" customWidth="1"/>
    <col min="56" max="58" width="5.1796875" bestFit="1" customWidth="1"/>
    <col min="59" max="59" width="4.1796875" bestFit="1" customWidth="1"/>
    <col min="60" max="71" width="5.1796875" bestFit="1" customWidth="1"/>
    <col min="72" max="72" width="4.1796875" bestFit="1" customWidth="1"/>
    <col min="73" max="74" width="5.1796875" bestFit="1" customWidth="1"/>
    <col min="75" max="75" width="4.1796875" bestFit="1" customWidth="1"/>
    <col min="76" max="81" width="5.1796875" bestFit="1" customWidth="1"/>
    <col min="82" max="82" width="2.08984375" bestFit="1" customWidth="1"/>
    <col min="83" max="85" width="5.1796875" bestFit="1" customWidth="1"/>
    <col min="86" max="86" width="4.1796875" bestFit="1" customWidth="1"/>
    <col min="87" max="93" width="5.1796875" bestFit="1" customWidth="1"/>
    <col min="94" max="94" width="4.1796875" bestFit="1" customWidth="1"/>
    <col min="95" max="127" width="5.1796875" bestFit="1" customWidth="1"/>
    <col min="128" max="128" width="4.1796875" bestFit="1" customWidth="1"/>
    <col min="129" max="132" width="5.1796875" bestFit="1" customWidth="1"/>
    <col min="133" max="133" width="4.1796875" bestFit="1" customWidth="1"/>
    <col min="134" max="137" width="5.1796875" bestFit="1" customWidth="1"/>
    <col min="138" max="138" width="4.1796875" bestFit="1" customWidth="1"/>
    <col min="139" max="142" width="5.1796875" bestFit="1" customWidth="1"/>
    <col min="143" max="143" width="4.1796875" bestFit="1" customWidth="1"/>
    <col min="144" max="157" width="5.1796875" bestFit="1" customWidth="1"/>
    <col min="158" max="158" width="2.08984375" bestFit="1" customWidth="1"/>
    <col min="159" max="161" width="5.1796875" bestFit="1" customWidth="1"/>
    <col min="162" max="162" width="4.1796875" bestFit="1" customWidth="1"/>
    <col min="163" max="174" width="5.1796875" bestFit="1" customWidth="1"/>
    <col min="175" max="175" width="4.1796875" bestFit="1" customWidth="1"/>
    <col min="176" max="177" width="5.1796875" bestFit="1" customWidth="1"/>
    <col min="178" max="181" width="6.26953125" bestFit="1" customWidth="1"/>
  </cols>
  <sheetData>
    <row r="3" spans="1:3" x14ac:dyDescent="0.35">
      <c r="A3" s="13" t="s">
        <v>348</v>
      </c>
      <c r="B3" t="s">
        <v>351</v>
      </c>
    </row>
    <row r="4" spans="1:3" x14ac:dyDescent="0.35">
      <c r="A4" s="26">
        <v>46216</v>
      </c>
      <c r="B4" s="17">
        <v>11.706491228070176</v>
      </c>
    </row>
    <row r="5" spans="1:3" x14ac:dyDescent="0.35">
      <c r="A5" s="26">
        <v>46223</v>
      </c>
      <c r="B5" s="17">
        <v>11.420877192982456</v>
      </c>
    </row>
    <row r="6" spans="1:3" x14ac:dyDescent="0.35">
      <c r="A6" s="26">
        <v>46230</v>
      </c>
      <c r="B6" s="17">
        <v>12.449183673469385</v>
      </c>
    </row>
    <row r="7" spans="1:3" x14ac:dyDescent="0.35">
      <c r="A7" s="26">
        <v>46237</v>
      </c>
      <c r="B7" s="17">
        <v>12.434090909090902</v>
      </c>
    </row>
    <row r="14" spans="1:3" x14ac:dyDescent="0.35">
      <c r="A14" s="13" t="s">
        <v>348</v>
      </c>
      <c r="B14" t="s">
        <v>394</v>
      </c>
      <c r="C14" t="s">
        <v>393</v>
      </c>
    </row>
    <row r="15" spans="1:3" x14ac:dyDescent="0.35">
      <c r="A15" s="14" t="s">
        <v>377</v>
      </c>
      <c r="B15" s="17">
        <v>0.73920634920634909</v>
      </c>
      <c r="C15" s="17">
        <v>1.0430687830687828</v>
      </c>
    </row>
    <row r="16" spans="1:3" x14ac:dyDescent="0.35">
      <c r="A16" s="14" t="s">
        <v>378</v>
      </c>
      <c r="B16" s="17">
        <v>1.0295000000000001</v>
      </c>
      <c r="C16" s="17">
        <v>1.8924999999999996</v>
      </c>
    </row>
    <row r="22" spans="1:4" x14ac:dyDescent="0.35">
      <c r="A22" s="13" t="s">
        <v>348</v>
      </c>
      <c r="B22" t="s">
        <v>349</v>
      </c>
      <c r="C22" t="s">
        <v>350</v>
      </c>
      <c r="D22" t="s">
        <v>395</v>
      </c>
    </row>
    <row r="23" spans="1:4" x14ac:dyDescent="0.35">
      <c r="A23" s="14" t="s">
        <v>18</v>
      </c>
      <c r="B23" s="15">
        <v>1.2309589041095892</v>
      </c>
      <c r="C23" s="15">
        <v>0.80369863013698639</v>
      </c>
      <c r="D23" s="15">
        <v>5.8226027397260269</v>
      </c>
    </row>
    <row r="24" spans="1:4" x14ac:dyDescent="0.35">
      <c r="A24" s="14" t="s">
        <v>46</v>
      </c>
      <c r="B24" s="15">
        <v>1.2437777777777776</v>
      </c>
      <c r="C24" s="15">
        <v>0.85288888888888892</v>
      </c>
      <c r="D24" s="15">
        <v>6.8062222222222228</v>
      </c>
    </row>
    <row r="25" spans="1:4" x14ac:dyDescent="0.35">
      <c r="A25" s="14" t="s">
        <v>23</v>
      </c>
      <c r="B25" s="15">
        <v>1.1442342342342342</v>
      </c>
      <c r="C25" s="15">
        <v>0.75531531531531504</v>
      </c>
      <c r="D25" s="15">
        <v>6.1801801801801801</v>
      </c>
    </row>
    <row r="26" spans="1:4" x14ac:dyDescent="0.35">
      <c r="B26" s="15"/>
      <c r="C26" s="15"/>
      <c r="D26" s="15"/>
    </row>
    <row r="30" spans="1:4" x14ac:dyDescent="0.35">
      <c r="A30" s="13" t="s">
        <v>348</v>
      </c>
      <c r="B30" t="s">
        <v>351</v>
      </c>
    </row>
    <row r="31" spans="1:4" x14ac:dyDescent="0.35">
      <c r="A31" s="14" t="s">
        <v>369</v>
      </c>
      <c r="B31" s="17">
        <v>11.745000000000001</v>
      </c>
    </row>
    <row r="32" spans="1:4" x14ac:dyDescent="0.35">
      <c r="A32" s="14" t="s">
        <v>370</v>
      </c>
      <c r="B32" s="17">
        <v>12.227142857142857</v>
      </c>
    </row>
    <row r="33" spans="1:2" x14ac:dyDescent="0.35">
      <c r="A33" s="14" t="s">
        <v>371</v>
      </c>
      <c r="B33" s="17">
        <v>13.401538461538461</v>
      </c>
    </row>
    <row r="34" spans="1:2" x14ac:dyDescent="0.35">
      <c r="A34" s="14" t="s">
        <v>372</v>
      </c>
      <c r="B34" s="17">
        <v>14.071999999999999</v>
      </c>
    </row>
    <row r="35" spans="1:2" x14ac:dyDescent="0.35">
      <c r="A35" s="14" t="s">
        <v>373</v>
      </c>
      <c r="B35" s="17">
        <v>12.846666666666666</v>
      </c>
    </row>
    <row r="36" spans="1:2" x14ac:dyDescent="0.35">
      <c r="A36" s="14" t="s">
        <v>374</v>
      </c>
      <c r="B36" s="17">
        <v>13.715454545454543</v>
      </c>
    </row>
    <row r="37" spans="1:2" x14ac:dyDescent="0.35">
      <c r="A37" s="14" t="s">
        <v>375</v>
      </c>
      <c r="B37" s="17">
        <v>10.843999999999999</v>
      </c>
    </row>
    <row r="57" spans="1:2" x14ac:dyDescent="0.35">
      <c r="A57" s="13" t="s">
        <v>376</v>
      </c>
      <c r="B57" t="s">
        <v>382</v>
      </c>
    </row>
    <row r="59" spans="1:2" x14ac:dyDescent="0.35">
      <c r="A59" s="13" t="s">
        <v>348</v>
      </c>
      <c r="B59" t="s">
        <v>351</v>
      </c>
    </row>
    <row r="60" spans="1:2" x14ac:dyDescent="0.35">
      <c r="A60" s="14" t="s">
        <v>42</v>
      </c>
      <c r="B60" s="17">
        <v>11.268260869565218</v>
      </c>
    </row>
    <row r="61" spans="1:2" x14ac:dyDescent="0.35">
      <c r="A61" s="14" t="s">
        <v>31</v>
      </c>
      <c r="B61" s="17">
        <v>11.769565217391303</v>
      </c>
    </row>
    <row r="62" spans="1:2" x14ac:dyDescent="0.35">
      <c r="A62" s="14" t="s">
        <v>19</v>
      </c>
      <c r="B62" s="17">
        <v>11.961481481481478</v>
      </c>
    </row>
    <row r="63" spans="1:2" x14ac:dyDescent="0.35">
      <c r="A63" s="14" t="s">
        <v>58</v>
      </c>
      <c r="B63" s="17">
        <v>12.525238095238095</v>
      </c>
    </row>
    <row r="64" spans="1:2" x14ac:dyDescent="0.35">
      <c r="A64" s="14" t="s">
        <v>47</v>
      </c>
      <c r="B64" s="17">
        <v>12.575833333333334</v>
      </c>
    </row>
    <row r="65" spans="1:4" x14ac:dyDescent="0.35">
      <c r="A65" s="14" t="s">
        <v>50</v>
      </c>
      <c r="B65" s="17">
        <v>11.914137931034485</v>
      </c>
    </row>
    <row r="66" spans="1:4" x14ac:dyDescent="0.35">
      <c r="A66" s="14" t="s">
        <v>24</v>
      </c>
      <c r="B66" s="17">
        <v>11.541521739130435</v>
      </c>
    </row>
    <row r="67" spans="1:4" x14ac:dyDescent="0.35">
      <c r="A67" s="14" t="s">
        <v>35</v>
      </c>
      <c r="B67" s="17">
        <v>12.633888888888889</v>
      </c>
    </row>
    <row r="73" spans="1:4" x14ac:dyDescent="0.35">
      <c r="A73" s="13" t="s">
        <v>348</v>
      </c>
      <c r="B73" t="s">
        <v>349</v>
      </c>
      <c r="C73" t="s">
        <v>350</v>
      </c>
      <c r="D73" t="s">
        <v>379</v>
      </c>
    </row>
    <row r="74" spans="1:4" x14ac:dyDescent="0.35">
      <c r="A74" s="14" t="s">
        <v>352</v>
      </c>
      <c r="B74" s="15">
        <v>1.1430769230769231</v>
      </c>
      <c r="C74" s="15">
        <v>0.77000000000000013</v>
      </c>
      <c r="D74" s="16">
        <v>13</v>
      </c>
    </row>
    <row r="75" spans="1:4" x14ac:dyDescent="0.35">
      <c r="A75" s="14" t="s">
        <v>353</v>
      </c>
      <c r="B75" s="15">
        <v>1.125</v>
      </c>
      <c r="C75" s="15">
        <v>0.61250000000000004</v>
      </c>
      <c r="D75" s="16">
        <v>4</v>
      </c>
    </row>
    <row r="76" spans="1:4" x14ac:dyDescent="0.35">
      <c r="A76" s="14" t="s">
        <v>354</v>
      </c>
      <c r="B76" s="15">
        <v>0.83299999999999996</v>
      </c>
      <c r="C76" s="15">
        <v>0.70600000000000007</v>
      </c>
      <c r="D76" s="16">
        <v>10</v>
      </c>
    </row>
    <row r="77" spans="1:4" x14ac:dyDescent="0.35">
      <c r="A77" s="14" t="s">
        <v>355</v>
      </c>
      <c r="B77" s="15">
        <v>1.0633333333333335</v>
      </c>
      <c r="C77" s="15">
        <v>0.71</v>
      </c>
      <c r="D77" s="16">
        <v>9</v>
      </c>
    </row>
    <row r="78" spans="1:4" x14ac:dyDescent="0.35">
      <c r="A78" s="14" t="s">
        <v>356</v>
      </c>
      <c r="B78" s="15">
        <v>1.2</v>
      </c>
      <c r="C78" s="15">
        <v>0.78636363636363638</v>
      </c>
      <c r="D78" s="16">
        <v>11</v>
      </c>
    </row>
    <row r="79" spans="1:4" x14ac:dyDescent="0.35">
      <c r="A79" s="14" t="s">
        <v>357</v>
      </c>
      <c r="B79" s="15">
        <v>0.89</v>
      </c>
      <c r="C79" s="15">
        <v>0.65833333333333333</v>
      </c>
      <c r="D79" s="16">
        <v>6</v>
      </c>
    </row>
    <row r="80" spans="1:4" x14ac:dyDescent="0.35">
      <c r="A80" s="14" t="s">
        <v>358</v>
      </c>
      <c r="B80" s="15">
        <v>0.99333333333333329</v>
      </c>
      <c r="C80" s="15">
        <v>0.69888888888888878</v>
      </c>
      <c r="D80" s="16">
        <v>9</v>
      </c>
    </row>
    <row r="81" spans="1:4" x14ac:dyDescent="0.35">
      <c r="A81" s="14" t="s">
        <v>359</v>
      </c>
      <c r="B81" s="15">
        <v>0.9436363636363635</v>
      </c>
      <c r="C81" s="15">
        <v>0.77272727272727271</v>
      </c>
      <c r="D81" s="16">
        <v>11</v>
      </c>
    </row>
    <row r="82" spans="1:4" x14ac:dyDescent="0.35">
      <c r="A82" s="14" t="s">
        <v>360</v>
      </c>
      <c r="B82" s="15">
        <v>0.8571428571428571</v>
      </c>
      <c r="C82" s="15">
        <v>0.66</v>
      </c>
      <c r="D82" s="16">
        <v>7</v>
      </c>
    </row>
    <row r="83" spans="1:4" x14ac:dyDescent="0.35">
      <c r="A83" s="14" t="s">
        <v>361</v>
      </c>
      <c r="B83" s="15">
        <v>1.0055555555555555</v>
      </c>
      <c r="C83" s="15">
        <v>0.67666666666666675</v>
      </c>
      <c r="D83" s="16">
        <v>9</v>
      </c>
    </row>
    <row r="84" spans="1:4" x14ac:dyDescent="0.35">
      <c r="A84" s="14" t="s">
        <v>362</v>
      </c>
      <c r="B84" s="15">
        <v>1.02</v>
      </c>
      <c r="C84" s="15">
        <v>0.85230769230769232</v>
      </c>
      <c r="D84" s="16">
        <v>13</v>
      </c>
    </row>
    <row r="85" spans="1:4" x14ac:dyDescent="0.35">
      <c r="A85" s="14" t="s">
        <v>363</v>
      </c>
      <c r="B85" s="15">
        <v>1.1033333333333333</v>
      </c>
      <c r="C85" s="15">
        <v>0.95833333333333337</v>
      </c>
      <c r="D85" s="16">
        <v>6</v>
      </c>
    </row>
    <row r="86" spans="1:4" x14ac:dyDescent="0.35">
      <c r="A86" s="14" t="s">
        <v>364</v>
      </c>
      <c r="B86" s="15">
        <v>1.1912499999999999</v>
      </c>
      <c r="C86" s="15">
        <v>0.7400000000000001</v>
      </c>
      <c r="D86" s="16">
        <v>8</v>
      </c>
    </row>
    <row r="87" spans="1:4" x14ac:dyDescent="0.35">
      <c r="A87" s="14" t="s">
        <v>365</v>
      </c>
      <c r="B87" s="15">
        <v>1.0641666666666667</v>
      </c>
      <c r="C87" s="15">
        <v>0.74499999999999977</v>
      </c>
      <c r="D87" s="16">
        <v>12</v>
      </c>
    </row>
    <row r="88" spans="1:4" x14ac:dyDescent="0.35">
      <c r="A88" s="14" t="s">
        <v>366</v>
      </c>
      <c r="B88" s="15">
        <v>1.1725000000000001</v>
      </c>
      <c r="C88" s="15">
        <v>0.82750000000000012</v>
      </c>
      <c r="D88" s="16">
        <v>12</v>
      </c>
    </row>
    <row r="89" spans="1:4" x14ac:dyDescent="0.35">
      <c r="A89" s="14" t="s">
        <v>367</v>
      </c>
      <c r="B89" s="15">
        <v>1.0018181818181819</v>
      </c>
      <c r="C89" s="15">
        <v>0.69090909090909092</v>
      </c>
      <c r="D89" s="16">
        <v>11</v>
      </c>
    </row>
    <row r="90" spans="1:4" x14ac:dyDescent="0.35">
      <c r="A90" s="14" t="s">
        <v>368</v>
      </c>
      <c r="B90" s="15">
        <v>1.0718181818181818</v>
      </c>
      <c r="C90" s="15">
        <v>0.70727272727272739</v>
      </c>
      <c r="D90" s="16">
        <v>11</v>
      </c>
    </row>
    <row r="91" spans="1:4" x14ac:dyDescent="0.35">
      <c r="A91" s="14" t="s">
        <v>369</v>
      </c>
      <c r="B91" s="15">
        <v>1.2289999999999999</v>
      </c>
      <c r="C91" s="15">
        <v>0.74199999999999999</v>
      </c>
      <c r="D91" s="16">
        <v>10</v>
      </c>
    </row>
    <row r="92" spans="1:4" x14ac:dyDescent="0.35">
      <c r="A92" s="14" t="s">
        <v>370</v>
      </c>
      <c r="B92" s="15">
        <v>0.84999999999999987</v>
      </c>
      <c r="C92" s="15">
        <v>0.59571428571428575</v>
      </c>
      <c r="D92" s="16">
        <v>7</v>
      </c>
    </row>
    <row r="93" spans="1:4" x14ac:dyDescent="0.35">
      <c r="A93" s="14" t="s">
        <v>371</v>
      </c>
      <c r="B93" s="15">
        <v>1.877692307692308</v>
      </c>
      <c r="C93" s="15">
        <v>0.94692307692307709</v>
      </c>
      <c r="D93" s="16">
        <v>13</v>
      </c>
    </row>
    <row r="94" spans="1:4" x14ac:dyDescent="0.35">
      <c r="A94" s="14" t="s">
        <v>372</v>
      </c>
      <c r="B94" s="15">
        <v>2.0609999999999999</v>
      </c>
      <c r="C94" s="15">
        <v>1.0020000000000002</v>
      </c>
      <c r="D94" s="16">
        <v>10</v>
      </c>
    </row>
    <row r="95" spans="1:4" x14ac:dyDescent="0.35">
      <c r="A95" s="14" t="s">
        <v>373</v>
      </c>
      <c r="B95" s="15">
        <v>1.6933333333333334</v>
      </c>
      <c r="C95" s="15">
        <v>1.0533333333333332</v>
      </c>
      <c r="D95" s="16">
        <v>6</v>
      </c>
    </row>
    <row r="96" spans="1:4" x14ac:dyDescent="0.35">
      <c r="A96" s="14" t="s">
        <v>374</v>
      </c>
      <c r="B96" s="15">
        <v>1.8654545454545455</v>
      </c>
      <c r="C96" s="15">
        <v>1.1390909090909089</v>
      </c>
      <c r="D96" s="16">
        <v>11</v>
      </c>
    </row>
    <row r="97" spans="1:5" x14ac:dyDescent="0.35">
      <c r="A97" s="14" t="s">
        <v>375</v>
      </c>
      <c r="B97" s="15">
        <v>0.96699999999999997</v>
      </c>
      <c r="C97" s="15">
        <v>0.71099999999999997</v>
      </c>
      <c r="D97" s="16">
        <v>10</v>
      </c>
    </row>
    <row r="103" spans="1:5" x14ac:dyDescent="0.35">
      <c r="A103" s="13" t="s">
        <v>348</v>
      </c>
      <c r="B103" t="s">
        <v>379</v>
      </c>
      <c r="C103" t="s">
        <v>349</v>
      </c>
      <c r="D103" t="s">
        <v>350</v>
      </c>
      <c r="E103" t="s">
        <v>351</v>
      </c>
    </row>
    <row r="104" spans="1:5" x14ac:dyDescent="0.35">
      <c r="A104" s="14" t="s">
        <v>38</v>
      </c>
      <c r="B104" s="16">
        <v>4</v>
      </c>
      <c r="C104" s="15">
        <v>1.3875</v>
      </c>
      <c r="D104" s="15">
        <v>0.89250000000000007</v>
      </c>
      <c r="E104" s="15">
        <v>13.16</v>
      </c>
    </row>
    <row r="105" spans="1:5" x14ac:dyDescent="0.35">
      <c r="A105" s="14" t="s">
        <v>106</v>
      </c>
      <c r="B105" s="16">
        <v>5</v>
      </c>
      <c r="C105" s="15">
        <v>1.1679999999999999</v>
      </c>
      <c r="D105" s="15">
        <v>0.84600000000000009</v>
      </c>
      <c r="E105" s="15">
        <v>12.048</v>
      </c>
    </row>
    <row r="106" spans="1:5" x14ac:dyDescent="0.35">
      <c r="A106" s="14" t="s">
        <v>226</v>
      </c>
      <c r="B106" s="16">
        <v>4</v>
      </c>
      <c r="C106" s="15">
        <v>1.4275</v>
      </c>
      <c r="D106" s="15">
        <v>0.6875</v>
      </c>
      <c r="E106" s="15">
        <v>12.592499999999998</v>
      </c>
    </row>
    <row r="107" spans="1:5" x14ac:dyDescent="0.35">
      <c r="A107" s="14" t="s">
        <v>81</v>
      </c>
      <c r="B107" s="16">
        <v>3</v>
      </c>
      <c r="C107" s="15">
        <v>0.84</v>
      </c>
      <c r="D107" s="15">
        <v>0.70666666666666667</v>
      </c>
      <c r="E107" s="15">
        <v>10.540000000000001</v>
      </c>
    </row>
    <row r="108" spans="1:5" x14ac:dyDescent="0.35">
      <c r="A108" s="14" t="s">
        <v>99</v>
      </c>
      <c r="B108" s="16">
        <v>2</v>
      </c>
      <c r="C108" s="15">
        <v>1.4950000000000001</v>
      </c>
      <c r="D108" s="15">
        <v>1</v>
      </c>
      <c r="E108" s="15">
        <v>12.965</v>
      </c>
    </row>
    <row r="109" spans="1:5" x14ac:dyDescent="0.35">
      <c r="A109" s="14" t="s">
        <v>59</v>
      </c>
      <c r="B109" s="16">
        <v>4</v>
      </c>
      <c r="C109" s="15">
        <v>0.74500000000000011</v>
      </c>
      <c r="D109" s="15">
        <v>0.6825</v>
      </c>
      <c r="E109" s="15">
        <v>11.319999999999999</v>
      </c>
    </row>
    <row r="110" spans="1:5" x14ac:dyDescent="0.35">
      <c r="A110" s="14" t="s">
        <v>188</v>
      </c>
      <c r="B110" s="16">
        <v>3</v>
      </c>
      <c r="C110" s="15">
        <v>0.9966666666666667</v>
      </c>
      <c r="D110" s="15">
        <v>1.1199999999999999</v>
      </c>
      <c r="E110" s="15">
        <v>11.15</v>
      </c>
    </row>
    <row r="111" spans="1:5" x14ac:dyDescent="0.35">
      <c r="A111" s="14" t="s">
        <v>116</v>
      </c>
      <c r="B111" s="16">
        <v>3</v>
      </c>
      <c r="C111" s="15">
        <v>1.0066666666666666</v>
      </c>
      <c r="D111" s="15">
        <v>0.8933333333333332</v>
      </c>
      <c r="E111" s="15">
        <v>11.76</v>
      </c>
    </row>
    <row r="112" spans="1:5" x14ac:dyDescent="0.35">
      <c r="A112" s="14" t="s">
        <v>87</v>
      </c>
      <c r="B112" s="16">
        <v>4</v>
      </c>
      <c r="C112" s="15">
        <v>0.76749999999999996</v>
      </c>
      <c r="D112" s="15">
        <v>0.74</v>
      </c>
      <c r="E112" s="15">
        <v>11.172499999999999</v>
      </c>
    </row>
    <row r="113" spans="1:5" x14ac:dyDescent="0.35">
      <c r="A113" s="14" t="s">
        <v>71</v>
      </c>
      <c r="B113" s="16">
        <v>2</v>
      </c>
      <c r="C113" s="15">
        <v>0.79500000000000004</v>
      </c>
      <c r="D113" s="15">
        <v>0.6</v>
      </c>
      <c r="E113" s="15">
        <v>11.664999999999999</v>
      </c>
    </row>
    <row r="114" spans="1:5" x14ac:dyDescent="0.35">
      <c r="A114" s="14" t="s">
        <v>122</v>
      </c>
      <c r="B114" s="16">
        <v>1</v>
      </c>
      <c r="C114" s="15">
        <v>1.36</v>
      </c>
      <c r="D114" s="15">
        <v>0.68</v>
      </c>
      <c r="E114" s="15">
        <v>10.78</v>
      </c>
    </row>
    <row r="115" spans="1:5" x14ac:dyDescent="0.35">
      <c r="A115" s="14" t="s">
        <v>108</v>
      </c>
      <c r="B115" s="16">
        <v>2</v>
      </c>
      <c r="C115" s="15">
        <v>1.19</v>
      </c>
      <c r="D115" s="15">
        <v>0.90500000000000003</v>
      </c>
      <c r="E115" s="15">
        <v>11.96</v>
      </c>
    </row>
    <row r="116" spans="1:5" x14ac:dyDescent="0.35">
      <c r="A116" s="14" t="s">
        <v>184</v>
      </c>
      <c r="B116" s="16">
        <v>3</v>
      </c>
      <c r="C116" s="15">
        <v>1.3466666666666667</v>
      </c>
      <c r="D116" s="15">
        <v>0.85333333333333339</v>
      </c>
      <c r="E116" s="15">
        <v>13.936666666666667</v>
      </c>
    </row>
    <row r="117" spans="1:5" x14ac:dyDescent="0.35">
      <c r="A117" s="14" t="s">
        <v>79</v>
      </c>
      <c r="B117" s="16">
        <v>4</v>
      </c>
      <c r="C117" s="15">
        <v>1.5525000000000002</v>
      </c>
      <c r="D117" s="15">
        <v>0.79749999999999999</v>
      </c>
      <c r="E117" s="15">
        <v>13.1175</v>
      </c>
    </row>
    <row r="118" spans="1:5" x14ac:dyDescent="0.35">
      <c r="A118" s="14" t="s">
        <v>20</v>
      </c>
      <c r="B118" s="16">
        <v>7</v>
      </c>
      <c r="C118" s="15">
        <v>1.0942857142857143</v>
      </c>
      <c r="D118" s="15">
        <v>0.80142857142857138</v>
      </c>
      <c r="E118" s="15">
        <v>11.62857142857143</v>
      </c>
    </row>
    <row r="119" spans="1:5" x14ac:dyDescent="0.35">
      <c r="A119" s="14" t="s">
        <v>198</v>
      </c>
      <c r="B119" s="16">
        <v>3</v>
      </c>
      <c r="C119" s="15">
        <v>1</v>
      </c>
      <c r="D119" s="15">
        <v>0.44999999999999996</v>
      </c>
      <c r="E119" s="15">
        <v>12.43</v>
      </c>
    </row>
    <row r="120" spans="1:5" x14ac:dyDescent="0.35">
      <c r="A120" s="14" t="s">
        <v>53</v>
      </c>
      <c r="B120" s="16">
        <v>4</v>
      </c>
      <c r="C120" s="15">
        <v>1.0225</v>
      </c>
      <c r="D120" s="15">
        <v>0.70999999999999985</v>
      </c>
      <c r="E120" s="15">
        <v>11.212499999999999</v>
      </c>
    </row>
    <row r="121" spans="1:5" x14ac:dyDescent="0.35">
      <c r="A121" s="14" t="s">
        <v>25</v>
      </c>
      <c r="B121" s="16">
        <v>2</v>
      </c>
      <c r="C121" s="15">
        <v>1.37</v>
      </c>
      <c r="D121" s="15">
        <v>0.755</v>
      </c>
      <c r="E121" s="15">
        <v>12.395</v>
      </c>
    </row>
    <row r="122" spans="1:5" x14ac:dyDescent="0.35">
      <c r="A122" s="14" t="s">
        <v>101</v>
      </c>
      <c r="B122" s="16">
        <v>4</v>
      </c>
      <c r="C122" s="15">
        <v>0.91500000000000004</v>
      </c>
      <c r="D122" s="15">
        <v>0.75</v>
      </c>
      <c r="E122" s="15">
        <v>12.817499999999999</v>
      </c>
    </row>
    <row r="123" spans="1:5" x14ac:dyDescent="0.35">
      <c r="A123" s="14" t="s">
        <v>61</v>
      </c>
      <c r="B123" s="16">
        <v>2</v>
      </c>
      <c r="C123" s="15">
        <v>1.1850000000000001</v>
      </c>
      <c r="D123" s="15">
        <v>0.56000000000000005</v>
      </c>
      <c r="E123" s="15">
        <v>11.955</v>
      </c>
    </row>
    <row r="124" spans="1:5" x14ac:dyDescent="0.35">
      <c r="A124" s="14" t="s">
        <v>320</v>
      </c>
      <c r="B124" s="16">
        <v>1</v>
      </c>
      <c r="C124" s="15">
        <v>1.18</v>
      </c>
      <c r="D124" s="15">
        <v>0.72</v>
      </c>
      <c r="E124" s="15">
        <v>13.23</v>
      </c>
    </row>
    <row r="125" spans="1:5" x14ac:dyDescent="0.35">
      <c r="A125" s="14" t="s">
        <v>27</v>
      </c>
      <c r="B125" s="16">
        <v>3</v>
      </c>
      <c r="C125" s="15">
        <v>1.0466666666666666</v>
      </c>
      <c r="D125" s="15">
        <v>0.59333333333333327</v>
      </c>
      <c r="E125" s="15">
        <v>11.486666666666666</v>
      </c>
    </row>
    <row r="126" spans="1:5" x14ac:dyDescent="0.35">
      <c r="A126" s="14" t="s">
        <v>212</v>
      </c>
      <c r="B126" s="16">
        <v>3</v>
      </c>
      <c r="C126" s="15">
        <v>1.4333333333333333</v>
      </c>
      <c r="D126" s="15">
        <v>0.91333333333333344</v>
      </c>
      <c r="E126" s="15">
        <v>12.573333333333332</v>
      </c>
    </row>
    <row r="127" spans="1:5" x14ac:dyDescent="0.35">
      <c r="A127" s="14" t="s">
        <v>29</v>
      </c>
      <c r="B127" s="16">
        <v>5</v>
      </c>
      <c r="C127" s="15">
        <v>1.752</v>
      </c>
      <c r="D127" s="15">
        <v>0.80199999999999994</v>
      </c>
      <c r="E127" s="15">
        <v>11.854000000000001</v>
      </c>
    </row>
    <row r="128" spans="1:5" x14ac:dyDescent="0.35">
      <c r="A128" s="14" t="s">
        <v>90</v>
      </c>
      <c r="B128" s="16">
        <v>2</v>
      </c>
      <c r="C128" s="15">
        <v>1.365</v>
      </c>
      <c r="D128" s="15">
        <v>1.115</v>
      </c>
      <c r="E128" s="15">
        <v>13.58</v>
      </c>
    </row>
    <row r="129" spans="1:5" x14ac:dyDescent="0.35">
      <c r="A129" s="14" t="s">
        <v>205</v>
      </c>
      <c r="B129" s="16">
        <v>3</v>
      </c>
      <c r="C129" s="15">
        <v>0.85</v>
      </c>
      <c r="D129" s="15">
        <v>0.95666666666666667</v>
      </c>
      <c r="E129" s="15">
        <v>11.313333333333333</v>
      </c>
    </row>
    <row r="130" spans="1:5" x14ac:dyDescent="0.35">
      <c r="A130" s="14" t="s">
        <v>148</v>
      </c>
      <c r="B130" s="16">
        <v>3</v>
      </c>
      <c r="C130" s="15">
        <v>1.3933333333333333</v>
      </c>
      <c r="D130" s="15">
        <v>0.8833333333333333</v>
      </c>
      <c r="E130" s="15">
        <v>11.5</v>
      </c>
    </row>
    <row r="131" spans="1:5" x14ac:dyDescent="0.35">
      <c r="A131" s="14" t="s">
        <v>73</v>
      </c>
      <c r="B131" s="16">
        <v>2</v>
      </c>
      <c r="C131" s="15">
        <v>1.105</v>
      </c>
      <c r="D131" s="15">
        <v>0.66999999999999993</v>
      </c>
      <c r="E131" s="15">
        <v>12.725</v>
      </c>
    </row>
    <row r="132" spans="1:5" x14ac:dyDescent="0.35">
      <c r="A132" s="14" t="s">
        <v>69</v>
      </c>
      <c r="B132" s="16">
        <v>4</v>
      </c>
      <c r="C132" s="15">
        <v>1.05</v>
      </c>
      <c r="D132" s="15">
        <v>0.90999999999999992</v>
      </c>
      <c r="E132" s="15">
        <v>12</v>
      </c>
    </row>
    <row r="133" spans="1:5" x14ac:dyDescent="0.35">
      <c r="A133" s="14" t="s">
        <v>264</v>
      </c>
      <c r="B133" s="16">
        <v>1</v>
      </c>
      <c r="C133" s="15">
        <v>2.0299999999999998</v>
      </c>
      <c r="D133" s="15">
        <v>0.69</v>
      </c>
      <c r="E133" s="15">
        <v>15.29</v>
      </c>
    </row>
    <row r="134" spans="1:5" x14ac:dyDescent="0.35">
      <c r="A134" s="14" t="s">
        <v>44</v>
      </c>
      <c r="B134" s="16">
        <v>4</v>
      </c>
      <c r="C134" s="15">
        <v>1.405</v>
      </c>
      <c r="D134" s="15">
        <v>0.71750000000000003</v>
      </c>
      <c r="E134" s="15">
        <v>11.6225</v>
      </c>
    </row>
    <row r="135" spans="1:5" x14ac:dyDescent="0.35">
      <c r="A135" s="14" t="s">
        <v>181</v>
      </c>
      <c r="B135" s="16">
        <v>3</v>
      </c>
      <c r="C135" s="15">
        <v>1.0033333333333332</v>
      </c>
      <c r="D135" s="15">
        <v>0.75666666666666671</v>
      </c>
      <c r="E135" s="15">
        <v>12.836666666666668</v>
      </c>
    </row>
    <row r="136" spans="1:5" x14ac:dyDescent="0.35">
      <c r="A136" s="14" t="s">
        <v>127</v>
      </c>
      <c r="B136" s="16">
        <v>3</v>
      </c>
      <c r="C136" s="15">
        <v>1.1599999999999999</v>
      </c>
      <c r="D136" s="15">
        <v>0.69999999999999984</v>
      </c>
      <c r="E136" s="15">
        <v>11.776666666666666</v>
      </c>
    </row>
    <row r="137" spans="1:5" x14ac:dyDescent="0.35">
      <c r="A137" s="14" t="s">
        <v>132</v>
      </c>
      <c r="B137" s="16">
        <v>3</v>
      </c>
      <c r="C137" s="15">
        <v>1.58</v>
      </c>
      <c r="D137" s="15">
        <v>0.94333333333333336</v>
      </c>
      <c r="E137" s="15">
        <v>12.216666666666667</v>
      </c>
    </row>
    <row r="138" spans="1:5" x14ac:dyDescent="0.35">
      <c r="A138" s="14" t="s">
        <v>229</v>
      </c>
      <c r="B138" s="16">
        <v>2</v>
      </c>
      <c r="C138" s="15">
        <v>1.3149999999999999</v>
      </c>
      <c r="D138" s="15">
        <v>0.91500000000000004</v>
      </c>
      <c r="E138" s="15">
        <v>10.79</v>
      </c>
    </row>
    <row r="139" spans="1:5" x14ac:dyDescent="0.35">
      <c r="A139" s="14" t="s">
        <v>67</v>
      </c>
      <c r="B139" s="16">
        <v>2</v>
      </c>
      <c r="C139" s="15">
        <v>1.6400000000000001</v>
      </c>
      <c r="D139" s="15">
        <v>0.56000000000000005</v>
      </c>
      <c r="E139" s="15">
        <v>11.43</v>
      </c>
    </row>
    <row r="140" spans="1:5" x14ac:dyDescent="0.35">
      <c r="A140" s="14" t="s">
        <v>85</v>
      </c>
      <c r="B140" s="16">
        <v>2</v>
      </c>
      <c r="C140" s="15">
        <v>1.6949999999999998</v>
      </c>
      <c r="D140" s="15">
        <v>1.03</v>
      </c>
      <c r="E140" s="15">
        <v>12.615</v>
      </c>
    </row>
    <row r="141" spans="1:5" x14ac:dyDescent="0.35">
      <c r="A141" s="14" t="s">
        <v>260</v>
      </c>
      <c r="B141" s="16">
        <v>1</v>
      </c>
      <c r="C141" s="15">
        <v>1.1599999999999999</v>
      </c>
      <c r="D141" s="15">
        <v>0.78</v>
      </c>
      <c r="E141" s="15">
        <v>12.57</v>
      </c>
    </row>
    <row r="142" spans="1:5" x14ac:dyDescent="0.35">
      <c r="A142" s="14" t="s">
        <v>40</v>
      </c>
      <c r="B142" s="16">
        <v>6</v>
      </c>
      <c r="C142" s="15">
        <v>1.0983333333333334</v>
      </c>
      <c r="D142" s="15">
        <v>1.0366666666666666</v>
      </c>
      <c r="E142" s="15">
        <v>12.285000000000002</v>
      </c>
    </row>
    <row r="143" spans="1:5" x14ac:dyDescent="0.35">
      <c r="A143" s="14" t="s">
        <v>325</v>
      </c>
      <c r="B143" s="16">
        <v>1</v>
      </c>
      <c r="C143" s="15">
        <v>0.91</v>
      </c>
      <c r="D143" s="15">
        <v>0.4</v>
      </c>
      <c r="E143" s="15">
        <v>10.37</v>
      </c>
    </row>
    <row r="144" spans="1:5" x14ac:dyDescent="0.35">
      <c r="A144" s="14" t="s">
        <v>258</v>
      </c>
      <c r="B144" s="16">
        <v>1</v>
      </c>
      <c r="C144" s="15">
        <v>0.9</v>
      </c>
      <c r="D144" s="15">
        <v>0.62</v>
      </c>
      <c r="E144" s="15">
        <v>13.84</v>
      </c>
    </row>
    <row r="145" spans="1:5" x14ac:dyDescent="0.35">
      <c r="A145" s="14" t="s">
        <v>56</v>
      </c>
      <c r="B145" s="16">
        <v>2</v>
      </c>
      <c r="C145" s="15">
        <v>1.3399999999999999</v>
      </c>
      <c r="D145" s="15">
        <v>0.78</v>
      </c>
      <c r="E145" s="15">
        <v>11.515000000000001</v>
      </c>
    </row>
    <row r="146" spans="1:5" x14ac:dyDescent="0.35">
      <c r="A146" s="14" t="s">
        <v>219</v>
      </c>
      <c r="B146" s="16">
        <v>1</v>
      </c>
      <c r="C146" s="15">
        <v>1.08</v>
      </c>
      <c r="D146" s="15">
        <v>0.42</v>
      </c>
      <c r="E146" s="15">
        <v>9.23</v>
      </c>
    </row>
    <row r="147" spans="1:5" x14ac:dyDescent="0.35">
      <c r="A147" s="14" t="s">
        <v>274</v>
      </c>
      <c r="B147" s="16">
        <v>2</v>
      </c>
      <c r="C147" s="15">
        <v>1.37</v>
      </c>
      <c r="D147" s="15">
        <v>0.86</v>
      </c>
      <c r="E147" s="15">
        <v>12.14</v>
      </c>
    </row>
    <row r="148" spans="1:5" x14ac:dyDescent="0.35">
      <c r="A148" s="14" t="s">
        <v>65</v>
      </c>
      <c r="B148" s="16">
        <v>4</v>
      </c>
      <c r="C148" s="15">
        <v>1.4000000000000001</v>
      </c>
      <c r="D148" s="15">
        <v>0.91</v>
      </c>
      <c r="E148" s="15">
        <v>11.657500000000001</v>
      </c>
    </row>
    <row r="149" spans="1:5" x14ac:dyDescent="0.35">
      <c r="A149" s="14" t="s">
        <v>186</v>
      </c>
      <c r="B149" s="16">
        <v>2</v>
      </c>
      <c r="C149" s="15">
        <v>0.58000000000000007</v>
      </c>
      <c r="D149" s="15">
        <v>0.83499999999999996</v>
      </c>
      <c r="E149" s="15">
        <v>11.255000000000001</v>
      </c>
    </row>
    <row r="150" spans="1:5" x14ac:dyDescent="0.35">
      <c r="A150" s="14" t="s">
        <v>156</v>
      </c>
      <c r="B150" s="16">
        <v>5</v>
      </c>
      <c r="C150" s="15">
        <v>0.90999999999999992</v>
      </c>
      <c r="D150" s="15">
        <v>0.57799999999999996</v>
      </c>
      <c r="E150" s="15">
        <v>11.782</v>
      </c>
    </row>
    <row r="151" spans="1:5" x14ac:dyDescent="0.35">
      <c r="A151" s="14" t="s">
        <v>152</v>
      </c>
      <c r="B151" s="16">
        <v>5</v>
      </c>
      <c r="C151" s="15">
        <v>1.264</v>
      </c>
      <c r="D151" s="15">
        <v>0.68799999999999994</v>
      </c>
      <c r="E151" s="15">
        <v>12.266</v>
      </c>
    </row>
    <row r="152" spans="1:5" x14ac:dyDescent="0.35">
      <c r="A152" s="14" t="s">
        <v>95</v>
      </c>
      <c r="B152" s="16">
        <v>2</v>
      </c>
      <c r="C152" s="15">
        <v>1.7999999999999998</v>
      </c>
      <c r="D152" s="15">
        <v>1.0249999999999999</v>
      </c>
      <c r="E152" s="15">
        <v>15.7</v>
      </c>
    </row>
    <row r="153" spans="1:5" x14ac:dyDescent="0.35">
      <c r="A153" s="14" t="s">
        <v>33</v>
      </c>
      <c r="B153" s="16">
        <v>3</v>
      </c>
      <c r="C153" s="15">
        <v>0.71333333333333337</v>
      </c>
      <c r="D153" s="15">
        <v>0.82333333333333336</v>
      </c>
      <c r="E153" s="15">
        <v>10.87</v>
      </c>
    </row>
    <row r="154" spans="1:5" x14ac:dyDescent="0.35">
      <c r="A154" s="14" t="s">
        <v>51</v>
      </c>
      <c r="B154" s="16">
        <v>5</v>
      </c>
      <c r="C154" s="15">
        <v>1.3679999999999999</v>
      </c>
      <c r="D154" s="15">
        <v>0.78200000000000003</v>
      </c>
      <c r="E154" s="15">
        <v>11.401999999999999</v>
      </c>
    </row>
    <row r="155" spans="1:5" x14ac:dyDescent="0.35">
      <c r="A155" s="14" t="s">
        <v>140</v>
      </c>
      <c r="B155" s="16">
        <v>4</v>
      </c>
      <c r="C155" s="15">
        <v>1.0575000000000001</v>
      </c>
      <c r="D155" s="15">
        <v>0.74</v>
      </c>
      <c r="E155" s="15">
        <v>12.625</v>
      </c>
    </row>
    <row r="156" spans="1:5" x14ac:dyDescent="0.35">
      <c r="A156" s="14" t="s">
        <v>344</v>
      </c>
      <c r="B156" s="16">
        <v>1</v>
      </c>
      <c r="C156" s="15">
        <v>1.36</v>
      </c>
      <c r="D156" s="15">
        <v>0.57999999999999996</v>
      </c>
      <c r="E156" s="15">
        <v>12.99</v>
      </c>
    </row>
    <row r="157" spans="1:5" x14ac:dyDescent="0.35">
      <c r="A157" s="14" t="s">
        <v>165</v>
      </c>
      <c r="B157" s="16">
        <v>2</v>
      </c>
      <c r="C157" s="15">
        <v>0.995</v>
      </c>
      <c r="D157" s="15">
        <v>0.80500000000000005</v>
      </c>
      <c r="E157" s="15">
        <v>11.135</v>
      </c>
    </row>
    <row r="158" spans="1:5" x14ac:dyDescent="0.35">
      <c r="A158" s="14" t="s">
        <v>171</v>
      </c>
      <c r="B158" s="16">
        <v>4</v>
      </c>
      <c r="C158" s="15">
        <v>1.5</v>
      </c>
      <c r="D158" s="15">
        <v>0.86250000000000004</v>
      </c>
      <c r="E158" s="15">
        <v>13.302500000000002</v>
      </c>
    </row>
    <row r="159" spans="1:5" x14ac:dyDescent="0.35">
      <c r="A159" s="14" t="s">
        <v>76</v>
      </c>
      <c r="B159" s="16">
        <v>2</v>
      </c>
      <c r="C159" s="15">
        <v>1.135</v>
      </c>
      <c r="D159" s="15">
        <v>0.89</v>
      </c>
      <c r="E159" s="15">
        <v>9.5449999999999999</v>
      </c>
    </row>
    <row r="160" spans="1:5" x14ac:dyDescent="0.35">
      <c r="A160" s="14" t="s">
        <v>114</v>
      </c>
      <c r="B160" s="16">
        <v>5</v>
      </c>
      <c r="C160" s="15">
        <v>0.90600000000000003</v>
      </c>
      <c r="D160" s="15">
        <v>0.82</v>
      </c>
      <c r="E160" s="15">
        <v>12.156000000000001</v>
      </c>
    </row>
    <row r="161" spans="1:5" x14ac:dyDescent="0.35">
      <c r="A161" s="14" t="s">
        <v>174</v>
      </c>
      <c r="B161" s="16">
        <v>3</v>
      </c>
      <c r="C161" s="15">
        <v>1.2733333333333334</v>
      </c>
      <c r="D161" s="15">
        <v>0.89666666666666661</v>
      </c>
      <c r="E161" s="15">
        <v>12.873333333333333</v>
      </c>
    </row>
    <row r="162" spans="1:5" x14ac:dyDescent="0.35">
      <c r="A162" s="14" t="s">
        <v>83</v>
      </c>
      <c r="B162" s="16">
        <v>6</v>
      </c>
      <c r="C162" s="15">
        <v>1.4283333333333335</v>
      </c>
      <c r="D162" s="15">
        <v>0.88166666666666671</v>
      </c>
      <c r="E162" s="15">
        <v>12.191666666666668</v>
      </c>
    </row>
    <row r="163" spans="1:5" x14ac:dyDescent="0.35">
      <c r="A163" s="14" t="s">
        <v>145</v>
      </c>
      <c r="B163" s="16">
        <v>4</v>
      </c>
      <c r="C163" s="15">
        <v>1.415</v>
      </c>
      <c r="D163" s="15">
        <v>0.73</v>
      </c>
      <c r="E163" s="15">
        <v>14.172499999999999</v>
      </c>
    </row>
    <row r="164" spans="1:5" x14ac:dyDescent="0.35">
      <c r="A164" s="14" t="s">
        <v>346</v>
      </c>
      <c r="B164" s="16">
        <v>1</v>
      </c>
      <c r="C164" s="15">
        <v>1.4</v>
      </c>
      <c r="D164" s="15">
        <v>0.63</v>
      </c>
      <c r="E164" s="15">
        <v>10.65</v>
      </c>
    </row>
    <row r="165" spans="1:5" x14ac:dyDescent="0.35">
      <c r="A165" s="14" t="s">
        <v>118</v>
      </c>
      <c r="B165" s="16">
        <v>2</v>
      </c>
      <c r="C165" s="15">
        <v>1.42</v>
      </c>
      <c r="D165" s="15">
        <v>0.59</v>
      </c>
      <c r="E165" s="15">
        <v>11.899999999999999</v>
      </c>
    </row>
    <row r="166" spans="1:5" x14ac:dyDescent="0.35">
      <c r="A166" s="14" t="s">
        <v>177</v>
      </c>
      <c r="B166" s="16">
        <v>2</v>
      </c>
      <c r="C166" s="15">
        <v>0.73499999999999999</v>
      </c>
      <c r="D166" s="15">
        <v>0.59499999999999997</v>
      </c>
      <c r="E166" s="15">
        <v>11.025</v>
      </c>
    </row>
    <row r="167" spans="1:5" x14ac:dyDescent="0.35">
      <c r="A167" s="14" t="s">
        <v>97</v>
      </c>
      <c r="B167" s="16">
        <v>6</v>
      </c>
      <c r="C167" s="15">
        <v>1.2733333333333332</v>
      </c>
      <c r="D167" s="15">
        <v>0.74666666666666659</v>
      </c>
      <c r="E167" s="15">
        <v>11.688333333333333</v>
      </c>
    </row>
    <row r="168" spans="1:5" x14ac:dyDescent="0.35">
      <c r="A168" s="14" t="s">
        <v>63</v>
      </c>
      <c r="B168" s="16">
        <v>3</v>
      </c>
      <c r="C168" s="15">
        <v>1.1299999999999999</v>
      </c>
      <c r="D168" s="15">
        <v>0.73333333333333339</v>
      </c>
      <c r="E168" s="15">
        <v>10.746666666666668</v>
      </c>
    </row>
    <row r="169" spans="1:5" x14ac:dyDescent="0.35">
      <c r="A169" s="14" t="s">
        <v>137</v>
      </c>
      <c r="B169" s="16">
        <v>4</v>
      </c>
      <c r="C169" s="15">
        <v>0.88250000000000006</v>
      </c>
      <c r="D169" s="15">
        <v>0.71250000000000002</v>
      </c>
      <c r="E169" s="15">
        <v>10.9</v>
      </c>
    </row>
    <row r="170" spans="1:5" x14ac:dyDescent="0.35">
      <c r="A170" s="14" t="s">
        <v>194</v>
      </c>
      <c r="B170" s="16">
        <v>2</v>
      </c>
      <c r="C170" s="15">
        <v>1.085</v>
      </c>
      <c r="D170" s="15">
        <v>0.625</v>
      </c>
      <c r="E170" s="15">
        <v>11.574999999999999</v>
      </c>
    </row>
    <row r="171" spans="1:5" x14ac:dyDescent="0.35">
      <c r="A171" s="14" t="s">
        <v>36</v>
      </c>
      <c r="B171" s="16">
        <v>4</v>
      </c>
      <c r="C171" s="15">
        <v>1.02</v>
      </c>
      <c r="D171" s="15">
        <v>0.75</v>
      </c>
      <c r="E171" s="15">
        <v>13.342499999999999</v>
      </c>
    </row>
    <row r="172" spans="1:5" x14ac:dyDescent="0.35">
      <c r="A172" s="14" t="s">
        <v>112</v>
      </c>
      <c r="B172" s="16">
        <v>2</v>
      </c>
      <c r="C172" s="15">
        <v>1.625</v>
      </c>
      <c r="D172" s="15">
        <v>0.89</v>
      </c>
      <c r="E172" s="15">
        <v>12.105</v>
      </c>
    </row>
    <row r="173" spans="1:5" x14ac:dyDescent="0.35">
      <c r="A173" s="14" t="s">
        <v>167</v>
      </c>
      <c r="B173" s="16">
        <v>4</v>
      </c>
      <c r="C173" s="15">
        <v>1.175</v>
      </c>
      <c r="D173" s="15">
        <v>1.0024999999999999</v>
      </c>
      <c r="E173" s="15">
        <v>10.585000000000001</v>
      </c>
    </row>
    <row r="174" spans="1:5" x14ac:dyDescent="0.35">
      <c r="A174" s="14" t="s">
        <v>202</v>
      </c>
      <c r="B174" s="16">
        <v>2</v>
      </c>
      <c r="C174" s="15">
        <v>0.72</v>
      </c>
      <c r="D174" s="15">
        <v>0.78500000000000003</v>
      </c>
      <c r="E174" s="15">
        <v>11</v>
      </c>
    </row>
    <row r="175" spans="1:5" x14ac:dyDescent="0.35">
      <c r="A175" s="14" t="s">
        <v>150</v>
      </c>
      <c r="B175" s="16">
        <v>5</v>
      </c>
      <c r="C175" s="15">
        <v>1.0960000000000001</v>
      </c>
      <c r="D175" s="15">
        <v>0.70400000000000007</v>
      </c>
      <c r="E175" s="15">
        <v>12.144</v>
      </c>
    </row>
    <row r="176" spans="1:5" x14ac:dyDescent="0.35">
      <c r="A176" s="14" t="s">
        <v>103</v>
      </c>
      <c r="B176" s="16">
        <v>5</v>
      </c>
      <c r="C176" s="15">
        <v>1.5</v>
      </c>
      <c r="D176" s="15">
        <v>0.80600000000000005</v>
      </c>
      <c r="E176" s="15">
        <v>12.062000000000001</v>
      </c>
    </row>
    <row r="177" spans="1:5" x14ac:dyDescent="0.35">
      <c r="A177" s="14" t="s">
        <v>48</v>
      </c>
      <c r="B177" s="16">
        <v>4</v>
      </c>
      <c r="C177" s="15">
        <v>1.0125</v>
      </c>
      <c r="D177" s="15">
        <v>0.75250000000000006</v>
      </c>
      <c r="E177" s="15">
        <v>11.157500000000001</v>
      </c>
    </row>
    <row r="181" spans="1:5" x14ac:dyDescent="0.35">
      <c r="A181" s="13" t="s">
        <v>376</v>
      </c>
      <c r="B181" t="s">
        <v>382</v>
      </c>
    </row>
    <row r="183" spans="1:5" x14ac:dyDescent="0.35">
      <c r="A183" s="13" t="s">
        <v>348</v>
      </c>
      <c r="B183" t="s">
        <v>379</v>
      </c>
    </row>
    <row r="184" spans="1:5" x14ac:dyDescent="0.35">
      <c r="A184" s="14" t="s">
        <v>42</v>
      </c>
      <c r="B184" s="15">
        <v>23</v>
      </c>
    </row>
    <row r="185" spans="1:5" x14ac:dyDescent="0.35">
      <c r="A185" s="14" t="s">
        <v>31</v>
      </c>
      <c r="B185" s="15">
        <v>23</v>
      </c>
    </row>
    <row r="186" spans="1:5" x14ac:dyDescent="0.35">
      <c r="A186" s="14" t="s">
        <v>19</v>
      </c>
      <c r="B186" s="15">
        <v>27</v>
      </c>
    </row>
    <row r="187" spans="1:5" x14ac:dyDescent="0.35">
      <c r="A187" s="14" t="s">
        <v>58</v>
      </c>
      <c r="B187" s="15">
        <v>21</v>
      </c>
    </row>
    <row r="188" spans="1:5" x14ac:dyDescent="0.35">
      <c r="A188" s="14" t="s">
        <v>47</v>
      </c>
      <c r="B188" s="15">
        <v>24</v>
      </c>
    </row>
    <row r="189" spans="1:5" x14ac:dyDescent="0.35">
      <c r="A189" s="14" t="s">
        <v>50</v>
      </c>
      <c r="B189" s="15">
        <v>29</v>
      </c>
    </row>
    <row r="190" spans="1:5" x14ac:dyDescent="0.35">
      <c r="A190" s="14" t="s">
        <v>24</v>
      </c>
      <c r="B190" s="15">
        <v>46</v>
      </c>
    </row>
    <row r="191" spans="1:5" x14ac:dyDescent="0.35">
      <c r="A191" s="14" t="s">
        <v>35</v>
      </c>
      <c r="B191" s="15">
        <v>36</v>
      </c>
    </row>
    <row r="194" spans="1:3" x14ac:dyDescent="0.35">
      <c r="A194" s="13" t="s">
        <v>376</v>
      </c>
      <c r="B194" t="s">
        <v>378</v>
      </c>
    </row>
    <row r="196" spans="1:3" x14ac:dyDescent="0.35">
      <c r="A196" s="13" t="s">
        <v>348</v>
      </c>
      <c r="B196" t="s">
        <v>349</v>
      </c>
      <c r="C196" s="22"/>
    </row>
    <row r="197" spans="1:3" x14ac:dyDescent="0.35">
      <c r="A197" s="14" t="s">
        <v>42</v>
      </c>
      <c r="B197" s="17">
        <v>1.8220000000000003</v>
      </c>
      <c r="C197" s="17"/>
    </row>
    <row r="198" spans="1:3" x14ac:dyDescent="0.35">
      <c r="A198" s="14" t="s">
        <v>31</v>
      </c>
      <c r="B198" s="17">
        <v>2.3159999999999998</v>
      </c>
      <c r="C198" s="17"/>
    </row>
    <row r="199" spans="1:3" x14ac:dyDescent="0.35">
      <c r="A199" s="14" t="s">
        <v>19</v>
      </c>
      <c r="B199" s="17">
        <v>1.8566666666666667</v>
      </c>
      <c r="C199" s="17"/>
    </row>
    <row r="200" spans="1:3" x14ac:dyDescent="0.35">
      <c r="A200" s="14" t="s">
        <v>58</v>
      </c>
      <c r="B200" s="17">
        <v>1.784</v>
      </c>
      <c r="C200" s="17"/>
    </row>
    <row r="201" spans="1:3" x14ac:dyDescent="0.35">
      <c r="A201" s="14" t="s">
        <v>47</v>
      </c>
      <c r="B201" s="17">
        <v>1.9455555555555553</v>
      </c>
      <c r="C201" s="17"/>
    </row>
    <row r="202" spans="1:3" x14ac:dyDescent="0.35">
      <c r="A202" s="14" t="s">
        <v>50</v>
      </c>
      <c r="B202" s="17">
        <v>1.8766666666666667</v>
      </c>
      <c r="C202" s="17"/>
    </row>
    <row r="203" spans="1:3" x14ac:dyDescent="0.35">
      <c r="A203" s="14" t="s">
        <v>24</v>
      </c>
      <c r="B203" s="17">
        <v>1.7249999999999999</v>
      </c>
      <c r="C203" s="17"/>
    </row>
    <row r="204" spans="1:3" x14ac:dyDescent="0.35">
      <c r="A204" s="14" t="s">
        <v>35</v>
      </c>
      <c r="B204" s="17">
        <v>1.7575000000000001</v>
      </c>
      <c r="C204" s="17"/>
    </row>
    <row r="208" spans="1:3" x14ac:dyDescent="0.35">
      <c r="A208" s="23" t="s">
        <v>348</v>
      </c>
      <c r="B208" s="23" t="s">
        <v>349</v>
      </c>
      <c r="C208" t="s">
        <v>386</v>
      </c>
    </row>
    <row r="209" spans="1:4" x14ac:dyDescent="0.35">
      <c r="A209" s="14" t="s">
        <v>42</v>
      </c>
      <c r="B209" s="17">
        <v>1.8220000000000003</v>
      </c>
      <c r="C209" s="17">
        <f>_xlfn.XLOOKUP(A209,blinkit_stores!A:A,blinkit_stores!F:F,"not found")</f>
        <v>0.625</v>
      </c>
    </row>
    <row r="210" spans="1:4" x14ac:dyDescent="0.35">
      <c r="A210" s="14" t="s">
        <v>31</v>
      </c>
      <c r="B210" s="17">
        <v>2.3159999999999998</v>
      </c>
      <c r="C210" s="17">
        <f>_xlfn.XLOOKUP(A210,blinkit_stores!A:A,blinkit_stores!F:F,"not found")</f>
        <v>0.7142857142857143</v>
      </c>
    </row>
    <row r="211" spans="1:4" x14ac:dyDescent="0.35">
      <c r="A211" s="14" t="s">
        <v>19</v>
      </c>
      <c r="B211" s="17">
        <v>1.8566666666666667</v>
      </c>
      <c r="C211" s="17">
        <f>_xlfn.XLOOKUP(A211,blinkit_stores!A:A,blinkit_stores!F:F,"not found")</f>
        <v>0.375</v>
      </c>
    </row>
    <row r="212" spans="1:4" x14ac:dyDescent="0.35">
      <c r="A212" s="14" t="s">
        <v>58</v>
      </c>
      <c r="B212" s="17">
        <v>1.784</v>
      </c>
      <c r="C212" s="17">
        <f>_xlfn.XLOOKUP(A212,blinkit_stores!A:A,blinkit_stores!F:F,"not found")</f>
        <v>0.7142857142857143</v>
      </c>
    </row>
    <row r="213" spans="1:4" x14ac:dyDescent="0.35">
      <c r="A213" s="14" t="s">
        <v>47</v>
      </c>
      <c r="B213" s="17">
        <v>1.9455555555555553</v>
      </c>
      <c r="C213" s="17">
        <f>_xlfn.XLOOKUP(A213,blinkit_stores!A:A,blinkit_stores!F:F,"not found")</f>
        <v>1.5</v>
      </c>
    </row>
    <row r="214" spans="1:4" x14ac:dyDescent="0.35">
      <c r="A214" s="14" t="s">
        <v>50</v>
      </c>
      <c r="B214" s="17">
        <v>1.8766666666666667</v>
      </c>
      <c r="C214" s="17">
        <f>_xlfn.XLOOKUP(A214,blinkit_stores!A:A,blinkit_stores!F:F,"not found")</f>
        <v>0.33333333333333331</v>
      </c>
    </row>
    <row r="215" spans="1:4" x14ac:dyDescent="0.35">
      <c r="A215" s="14" t="s">
        <v>24</v>
      </c>
      <c r="B215" s="17">
        <v>1.7249999999999999</v>
      </c>
      <c r="C215" s="17">
        <f>_xlfn.XLOOKUP(A215,blinkit_stores!A:A,blinkit_stores!F:F,"not found")</f>
        <v>0.8571428571428571</v>
      </c>
    </row>
    <row r="216" spans="1:4" x14ac:dyDescent="0.35">
      <c r="A216" s="14" t="s">
        <v>35</v>
      </c>
      <c r="B216" s="17">
        <v>1.7575000000000001</v>
      </c>
      <c r="C216" s="17">
        <f>_xlfn.XLOOKUP(A216,blinkit_stores!A:A,blinkit_stores!F:F,"not found")</f>
        <v>0.5</v>
      </c>
    </row>
    <row r="218" spans="1:4" ht="15.5" x14ac:dyDescent="0.35">
      <c r="D218" s="24" t="s">
        <v>387</v>
      </c>
    </row>
    <row r="219" spans="1:4" ht="15.5" x14ac:dyDescent="0.35">
      <c r="D219" s="25">
        <f>CORREL(Table5[Average of rider_assignment_time_min],Table5[order/rider])</f>
        <v>0.14567367051074168</v>
      </c>
    </row>
    <row r="221" spans="1:4" x14ac:dyDescent="0.35">
      <c r="D221">
        <f>CORREL(Table5[order/rider], Table5[Average of rider_assignment_time_min])</f>
        <v>0.14567367051074168</v>
      </c>
    </row>
    <row r="226" spans="1:4" x14ac:dyDescent="0.35">
      <c r="A226" t="s">
        <v>388</v>
      </c>
    </row>
    <row r="228" spans="1:4" x14ac:dyDescent="0.35">
      <c r="A228" t="s">
        <v>389</v>
      </c>
      <c r="B228" t="s">
        <v>390</v>
      </c>
      <c r="C228" t="s">
        <v>391</v>
      </c>
      <c r="D228" t="s">
        <v>392</v>
      </c>
    </row>
    <row r="229" spans="1:4" x14ac:dyDescent="0.35">
      <c r="A229">
        <f>COUNTA(Table1[order_id])</f>
        <v>240</v>
      </c>
      <c r="B229" s="17">
        <f>AVERAGE(Table1[total_delivery_time_min])</f>
        <v>12.034874999999996</v>
      </c>
      <c r="C229" s="17">
        <f>GETPIVOTDATA("Average of total_delivery_time_min",$A$234,"peakhour","Peak")</f>
        <v>13.57225</v>
      </c>
      <c r="D229">
        <f>GETPIVOTDATA("Rider_assignment_time",$A$234,"peakhour","Peak")</f>
        <v>1.8924999999999996</v>
      </c>
    </row>
    <row r="234" spans="1:4" x14ac:dyDescent="0.35">
      <c r="A234" s="13" t="s">
        <v>348</v>
      </c>
      <c r="B234" t="s">
        <v>393</v>
      </c>
      <c r="C234" t="s">
        <v>351</v>
      </c>
    </row>
    <row r="235" spans="1:4" x14ac:dyDescent="0.35">
      <c r="A235" s="14" t="s">
        <v>377</v>
      </c>
      <c r="B235" s="17">
        <v>1.0430687830687828</v>
      </c>
      <c r="C235" s="17">
        <v>11.672116402116398</v>
      </c>
    </row>
    <row r="236" spans="1:4" x14ac:dyDescent="0.35">
      <c r="A236" s="14" t="s">
        <v>378</v>
      </c>
      <c r="B236" s="17">
        <v>1.8924999999999996</v>
      </c>
      <c r="C236" s="17">
        <v>13.57225</v>
      </c>
    </row>
  </sheetData>
  <pageMargins left="0.7" right="0.7" top="0.75" bottom="0.75" header="0.3" footer="0.3"/>
  <drawing r:id="rId11"/>
  <tableParts count="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2595-FD4E-4995-B49F-27CA9E433D08}">
  <sheetPr>
    <tabColor rgb="FFFF5050"/>
  </sheetPr>
  <dimension ref="A1"/>
  <sheetViews>
    <sheetView showGridLines="0" zoomScale="89" zoomScaleNormal="89" workbookViewId="0">
      <selection activeCell="A11" sqref="A11"/>
    </sheetView>
  </sheetViews>
  <sheetFormatPr defaultRowHeight="14.5" x14ac:dyDescent="0.35"/>
  <sheetData>
    <row r="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blinkit_delivery_case_study</vt:lpstr>
      <vt:lpstr>blinkit_stores</vt:lpstr>
      <vt:lpstr>Delivered_data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Dahilkar</dc:creator>
  <cp:lastModifiedBy>Vaishnavi Dahilkar</cp:lastModifiedBy>
  <dcterms:created xsi:type="dcterms:W3CDTF">2026-08-11T09:56:24Z</dcterms:created>
  <dcterms:modified xsi:type="dcterms:W3CDTF">2026-09-04T17:42:01Z</dcterms:modified>
</cp:coreProperties>
</file>